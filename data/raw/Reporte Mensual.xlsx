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2654751789BF45/Documentos/"/>
    </mc:Choice>
  </mc:AlternateContent>
  <xr:revisionPtr revIDLastSave="0" documentId="8_{C8583B94-BB7B-4C03-9803-8C248F70CE68}" xr6:coauthVersionLast="47" xr6:coauthVersionMax="47" xr10:uidLastSave="{00000000-0000-0000-0000-000000000000}"/>
  <bookViews>
    <workbookView xWindow="-120" yWindow="-120" windowWidth="29040" windowHeight="15720" activeTab="1" xr2:uid="{9B35A958-FAB8-4B5A-84F8-168F3938A00A}"/>
  </bookViews>
  <sheets>
    <sheet name="Villahermosa" sheetId="1" r:id="rId1"/>
    <sheet name="Coatzacoalcos" sheetId="2" r:id="rId2"/>
  </sheets>
  <definedNames>
    <definedName name="_xlnm._FilterDatabase" localSheetId="1" hidden="1">Coatzacoalcos!#REF!</definedName>
    <definedName name="_xlnm._FilterDatabase" localSheetId="0" hidden="1">Villahermosa!#REF!</definedName>
    <definedName name="_xlnm.Print_Area" localSheetId="1">Coatzacoalcos!$A$1:$O$51</definedName>
    <definedName name="_xlnm.Print_Area" localSheetId="0">Villahermosa!$A$1:$O$54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2" l="1"/>
  <c r="H48" i="2"/>
  <c r="F48" i="2"/>
  <c r="E48" i="2"/>
  <c r="E51" i="2" s="1"/>
  <c r="M47" i="2"/>
  <c r="I47" i="2"/>
  <c r="O47" i="2" s="1"/>
  <c r="G47" i="2"/>
  <c r="M46" i="2"/>
  <c r="I46" i="2"/>
  <c r="O46" i="2" s="1"/>
  <c r="G46" i="2"/>
  <c r="M45" i="2"/>
  <c r="I45" i="2"/>
  <c r="O45" i="2" s="1"/>
  <c r="G45" i="2"/>
  <c r="M44" i="2"/>
  <c r="I44" i="2"/>
  <c r="G44" i="2"/>
  <c r="K44" i="2" s="1"/>
  <c r="M43" i="2"/>
  <c r="I43" i="2"/>
  <c r="O43" i="2" s="1"/>
  <c r="G43" i="2"/>
  <c r="M42" i="2"/>
  <c r="I42" i="2"/>
  <c r="O42" i="2" s="1"/>
  <c r="G42" i="2"/>
  <c r="M41" i="2"/>
  <c r="I41" i="2"/>
  <c r="O41" i="2" s="1"/>
  <c r="G41" i="2"/>
  <c r="K41" i="2" s="1"/>
  <c r="M40" i="2"/>
  <c r="I40" i="2"/>
  <c r="G40" i="2"/>
  <c r="M39" i="2"/>
  <c r="I39" i="2"/>
  <c r="O39" i="2" s="1"/>
  <c r="G39" i="2"/>
  <c r="M38" i="2"/>
  <c r="I38" i="2"/>
  <c r="G38" i="2"/>
  <c r="K38" i="2" s="1"/>
  <c r="M37" i="2"/>
  <c r="I37" i="2"/>
  <c r="G37" i="2"/>
  <c r="K37" i="2" s="1"/>
  <c r="M36" i="2"/>
  <c r="I36" i="2"/>
  <c r="G36" i="2"/>
  <c r="M35" i="2"/>
  <c r="I35" i="2"/>
  <c r="G35" i="2"/>
  <c r="K35" i="2" s="1"/>
  <c r="M34" i="2"/>
  <c r="I34" i="2"/>
  <c r="O34" i="2" s="1"/>
  <c r="G34" i="2"/>
  <c r="M33" i="2"/>
  <c r="I33" i="2"/>
  <c r="O33" i="2" s="1"/>
  <c r="G33" i="2"/>
  <c r="N32" i="2"/>
  <c r="M32" i="2"/>
  <c r="I32" i="2"/>
  <c r="G32" i="2"/>
  <c r="K32" i="2" s="1"/>
  <c r="M31" i="2"/>
  <c r="I31" i="2"/>
  <c r="O31" i="2" s="1"/>
  <c r="G31" i="2"/>
  <c r="K31" i="2" s="1"/>
  <c r="O30" i="2"/>
  <c r="M30" i="2"/>
  <c r="I30" i="2"/>
  <c r="G30" i="2"/>
  <c r="K30" i="2" s="1"/>
  <c r="M29" i="2"/>
  <c r="I29" i="2"/>
  <c r="O29" i="2" s="1"/>
  <c r="G29" i="2"/>
  <c r="M28" i="2"/>
  <c r="I28" i="2"/>
  <c r="G28" i="2"/>
  <c r="K28" i="2" s="1"/>
  <c r="N27" i="2"/>
  <c r="M27" i="2"/>
  <c r="I27" i="2"/>
  <c r="G27" i="2"/>
  <c r="K27" i="2" s="1"/>
  <c r="M26" i="2"/>
  <c r="I26" i="2"/>
  <c r="O26" i="2" s="1"/>
  <c r="G26" i="2"/>
  <c r="M25" i="2"/>
  <c r="I25" i="2"/>
  <c r="O25" i="2" s="1"/>
  <c r="G25" i="2"/>
  <c r="K25" i="2" s="1"/>
  <c r="M24" i="2"/>
  <c r="I24" i="2"/>
  <c r="O24" i="2" s="1"/>
  <c r="G24" i="2"/>
  <c r="K24" i="2" s="1"/>
  <c r="M23" i="2"/>
  <c r="I23" i="2"/>
  <c r="O23" i="2" s="1"/>
  <c r="G23" i="2"/>
  <c r="K23" i="2" s="1"/>
  <c r="M22" i="2"/>
  <c r="I22" i="2"/>
  <c r="G22" i="2"/>
  <c r="M21" i="2"/>
  <c r="I21" i="2"/>
  <c r="G21" i="2"/>
  <c r="K21" i="2" s="1"/>
  <c r="M20" i="2"/>
  <c r="I20" i="2"/>
  <c r="G20" i="2"/>
  <c r="K20" i="2" s="1"/>
  <c r="N19" i="2"/>
  <c r="M19" i="2"/>
  <c r="I19" i="2"/>
  <c r="G19" i="2"/>
  <c r="M18" i="2"/>
  <c r="I18" i="2"/>
  <c r="N18" i="2" s="1"/>
  <c r="G18" i="2"/>
  <c r="J18" i="2" s="1"/>
  <c r="M17" i="2"/>
  <c r="I17" i="2"/>
  <c r="O17" i="2" s="1"/>
  <c r="G17" i="2"/>
  <c r="K17" i="2" s="1"/>
  <c r="M16" i="2"/>
  <c r="I16" i="2"/>
  <c r="G16" i="2"/>
  <c r="K16" i="2" s="1"/>
  <c r="N15" i="2"/>
  <c r="M15" i="2"/>
  <c r="I15" i="2"/>
  <c r="G15" i="2"/>
  <c r="M14" i="2"/>
  <c r="I14" i="2"/>
  <c r="O14" i="2" s="1"/>
  <c r="G14" i="2"/>
  <c r="M13" i="2"/>
  <c r="I13" i="2"/>
  <c r="N13" i="2" s="1"/>
  <c r="O13" i="2" s="1"/>
  <c r="G13" i="2"/>
  <c r="K13" i="2" s="1"/>
  <c r="M12" i="2"/>
  <c r="I12" i="2"/>
  <c r="N12" i="2" s="1"/>
  <c r="O12" i="2" s="1"/>
  <c r="G12" i="2"/>
  <c r="M11" i="2"/>
  <c r="I11" i="2"/>
  <c r="G11" i="2"/>
  <c r="K11" i="2" s="1"/>
  <c r="M10" i="2"/>
  <c r="I10" i="2"/>
  <c r="G10" i="2"/>
  <c r="K10" i="2" s="1"/>
  <c r="N9" i="2"/>
  <c r="M9" i="2"/>
  <c r="I9" i="2"/>
  <c r="G9" i="2"/>
  <c r="K9" i="2" s="1"/>
  <c r="M8" i="2"/>
  <c r="I8" i="2"/>
  <c r="O8" i="2" s="1"/>
  <c r="G8" i="2"/>
  <c r="K8" i="2" s="1"/>
  <c r="M7" i="2"/>
  <c r="I7" i="2"/>
  <c r="G7" i="2"/>
  <c r="K7" i="2" s="1"/>
  <c r="M6" i="2"/>
  <c r="I6" i="2"/>
  <c r="G6" i="2"/>
  <c r="M5" i="2"/>
  <c r="I5" i="2"/>
  <c r="G5" i="2"/>
  <c r="K40" i="2" s="1"/>
  <c r="M4" i="2"/>
  <c r="I4" i="2"/>
  <c r="O4" i="2" s="1"/>
  <c r="G4" i="2"/>
  <c r="K36" i="2"/>
  <c r="K15" i="2"/>
  <c r="K45" i="2"/>
  <c r="K26" i="2"/>
  <c r="N7" i="2"/>
  <c r="E54" i="1"/>
  <c r="E53" i="1"/>
  <c r="H51" i="1"/>
  <c r="F51" i="1"/>
  <c r="E51" i="1"/>
  <c r="M50" i="1"/>
  <c r="I50" i="1"/>
  <c r="O50" i="1" s="1"/>
  <c r="G50" i="1"/>
  <c r="K50" i="1" s="1"/>
  <c r="M49" i="1"/>
  <c r="I49" i="1"/>
  <c r="O49" i="1" s="1"/>
  <c r="G49" i="1"/>
  <c r="M48" i="1"/>
  <c r="I48" i="1"/>
  <c r="G48" i="1"/>
  <c r="K48" i="1" s="1"/>
  <c r="N47" i="1"/>
  <c r="M47" i="1"/>
  <c r="I47" i="1"/>
  <c r="G47" i="1"/>
  <c r="K47" i="1" s="1"/>
  <c r="M46" i="1"/>
  <c r="I46" i="1"/>
  <c r="O46" i="1" s="1"/>
  <c r="G46" i="1"/>
  <c r="K46" i="1" s="1"/>
  <c r="M45" i="1"/>
  <c r="I45" i="1"/>
  <c r="O45" i="1" s="1"/>
  <c r="G45" i="1"/>
  <c r="K45" i="1" s="1"/>
  <c r="M44" i="1"/>
  <c r="I44" i="1"/>
  <c r="G44" i="1"/>
  <c r="K44" i="1" s="1"/>
  <c r="M43" i="1"/>
  <c r="I43" i="1"/>
  <c r="O43" i="1" s="1"/>
  <c r="G43" i="1"/>
  <c r="K43" i="1" s="1"/>
  <c r="M42" i="1"/>
  <c r="I42" i="1"/>
  <c r="O42" i="1" s="1"/>
  <c r="G42" i="1"/>
  <c r="K42" i="1" s="1"/>
  <c r="M41" i="1"/>
  <c r="I41" i="1"/>
  <c r="O41" i="1" s="1"/>
  <c r="G41" i="1"/>
  <c r="M40" i="1"/>
  <c r="I40" i="1"/>
  <c r="O40" i="1" s="1"/>
  <c r="G40" i="1"/>
  <c r="K40" i="1" s="1"/>
  <c r="M39" i="1"/>
  <c r="I39" i="1"/>
  <c r="O39" i="1" s="1"/>
  <c r="G39" i="1"/>
  <c r="M38" i="1"/>
  <c r="K38" i="1"/>
  <c r="I38" i="1"/>
  <c r="J38" i="1" s="1"/>
  <c r="G38" i="1"/>
  <c r="M37" i="1"/>
  <c r="I37" i="1"/>
  <c r="O37" i="1" s="1"/>
  <c r="G37" i="1"/>
  <c r="K37" i="1" s="1"/>
  <c r="M36" i="1"/>
  <c r="I36" i="1"/>
  <c r="O36" i="1" s="1"/>
  <c r="G36" i="1"/>
  <c r="M35" i="1"/>
  <c r="K35" i="1"/>
  <c r="I35" i="1"/>
  <c r="J35" i="1" s="1"/>
  <c r="G35" i="1"/>
  <c r="N34" i="1"/>
  <c r="M34" i="1"/>
  <c r="I34" i="1"/>
  <c r="O34" i="1" s="1"/>
  <c r="G34" i="1"/>
  <c r="K34" i="1" s="1"/>
  <c r="M33" i="1"/>
  <c r="I33" i="1"/>
  <c r="O33" i="1" s="1"/>
  <c r="G33" i="1"/>
  <c r="K33" i="1" s="1"/>
  <c r="M32" i="1"/>
  <c r="I32" i="1"/>
  <c r="G32" i="1"/>
  <c r="M31" i="1"/>
  <c r="I31" i="1"/>
  <c r="O31" i="1" s="1"/>
  <c r="G31" i="1"/>
  <c r="K31" i="1" s="1"/>
  <c r="M30" i="1"/>
  <c r="I30" i="1"/>
  <c r="G30" i="1"/>
  <c r="M29" i="1"/>
  <c r="I29" i="1"/>
  <c r="O29" i="1" s="1"/>
  <c r="G29" i="1"/>
  <c r="K29" i="1" s="1"/>
  <c r="M28" i="1"/>
  <c r="I28" i="1"/>
  <c r="G28" i="1"/>
  <c r="O27" i="1"/>
  <c r="M27" i="1"/>
  <c r="I27" i="1"/>
  <c r="G27" i="1"/>
  <c r="J27" i="1" s="1"/>
  <c r="M26" i="1"/>
  <c r="I26" i="1"/>
  <c r="G26" i="1"/>
  <c r="N25" i="1"/>
  <c r="M25" i="1"/>
  <c r="I25" i="1"/>
  <c r="G25" i="1"/>
  <c r="M24" i="1"/>
  <c r="I24" i="1"/>
  <c r="G24" i="1"/>
  <c r="M23" i="1"/>
  <c r="I23" i="1"/>
  <c r="G23" i="1"/>
  <c r="M22" i="1"/>
  <c r="I22" i="1"/>
  <c r="O22" i="1" s="1"/>
  <c r="G22" i="1"/>
  <c r="K22" i="1" s="1"/>
  <c r="M21" i="1"/>
  <c r="I21" i="1"/>
  <c r="O21" i="1" s="1"/>
  <c r="G21" i="1"/>
  <c r="K21" i="1" s="1"/>
  <c r="M20" i="1"/>
  <c r="I20" i="1"/>
  <c r="O20" i="1" s="1"/>
  <c r="G20" i="1"/>
  <c r="K20" i="1" s="1"/>
  <c r="M19" i="1"/>
  <c r="I19" i="1"/>
  <c r="N19" i="1" s="1"/>
  <c r="O19" i="1" s="1"/>
  <c r="G19" i="1"/>
  <c r="M18" i="1"/>
  <c r="I18" i="1"/>
  <c r="G18" i="1"/>
  <c r="K18" i="1" s="1"/>
  <c r="N17" i="1"/>
  <c r="M17" i="1"/>
  <c r="I17" i="1"/>
  <c r="J17" i="1" s="1"/>
  <c r="G17" i="1"/>
  <c r="N16" i="1"/>
  <c r="M16" i="1"/>
  <c r="I16" i="1"/>
  <c r="G16" i="1"/>
  <c r="K16" i="1" s="1"/>
  <c r="M15" i="1"/>
  <c r="I15" i="1"/>
  <c r="O15" i="1" s="1"/>
  <c r="G15" i="1"/>
  <c r="K27" i="1" s="1"/>
  <c r="O14" i="1"/>
  <c r="M14" i="1"/>
  <c r="I14" i="1"/>
  <c r="G14" i="1"/>
  <c r="M13" i="1"/>
  <c r="I13" i="1"/>
  <c r="J13" i="1" s="1"/>
  <c r="G13" i="1"/>
  <c r="K13" i="1" s="1"/>
  <c r="M12" i="1"/>
  <c r="I12" i="1"/>
  <c r="N12" i="1" s="1"/>
  <c r="G12" i="1"/>
  <c r="K12" i="1" s="1"/>
  <c r="M11" i="1"/>
  <c r="I11" i="1"/>
  <c r="G11" i="1"/>
  <c r="M10" i="1"/>
  <c r="I10" i="1"/>
  <c r="G10" i="1"/>
  <c r="M9" i="1"/>
  <c r="I9" i="1"/>
  <c r="O9" i="1" s="1"/>
  <c r="G9" i="1"/>
  <c r="K9" i="1" s="1"/>
  <c r="N8" i="1"/>
  <c r="M8" i="1"/>
  <c r="K8" i="1"/>
  <c r="I8" i="1"/>
  <c r="G8" i="1"/>
  <c r="M7" i="1"/>
  <c r="I7" i="1"/>
  <c r="G7" i="1"/>
  <c r="M6" i="1"/>
  <c r="I6" i="1"/>
  <c r="O6" i="1" s="1"/>
  <c r="G6" i="1"/>
  <c r="K6" i="1" s="1"/>
  <c r="N5" i="1"/>
  <c r="M5" i="1"/>
  <c r="I5" i="1"/>
  <c r="G5" i="1"/>
  <c r="K17" i="1" s="1"/>
  <c r="N4" i="1"/>
  <c r="M4" i="1"/>
  <c r="I4" i="1"/>
  <c r="G4" i="1"/>
  <c r="K4" i="1" s="1"/>
  <c r="K23" i="1"/>
  <c r="O27" i="2" l="1"/>
  <c r="J28" i="2"/>
  <c r="J8" i="2"/>
  <c r="J21" i="2"/>
  <c r="J36" i="2"/>
  <c r="O15" i="2"/>
  <c r="N21" i="2"/>
  <c r="O21" i="2" s="1"/>
  <c r="J44" i="2"/>
  <c r="O36" i="2"/>
  <c r="O9" i="2"/>
  <c r="K29" i="2"/>
  <c r="J10" i="2"/>
  <c r="O10" i="2"/>
  <c r="K18" i="2"/>
  <c r="K5" i="2"/>
  <c r="J11" i="2"/>
  <c r="J33" i="2"/>
  <c r="J34" i="2"/>
  <c r="J17" i="2"/>
  <c r="O7" i="2"/>
  <c r="O44" i="2"/>
  <c r="J32" i="2"/>
  <c r="J14" i="2"/>
  <c r="J9" i="2"/>
  <c r="O32" i="2"/>
  <c r="N37" i="2"/>
  <c r="O37" i="2" s="1"/>
  <c r="J26" i="2"/>
  <c r="J37" i="2"/>
  <c r="J15" i="2"/>
  <c r="J6" i="2"/>
  <c r="J22" i="2"/>
  <c r="J35" i="2"/>
  <c r="O18" i="2"/>
  <c r="O35" i="2"/>
  <c r="J48" i="2"/>
  <c r="O28" i="2"/>
  <c r="J40" i="2"/>
  <c r="O22" i="2"/>
  <c r="N40" i="2"/>
  <c r="O40" i="2" s="1"/>
  <c r="J30" i="2"/>
  <c r="J5" i="1"/>
  <c r="O13" i="1"/>
  <c r="J14" i="1"/>
  <c r="J41" i="1"/>
  <c r="O5" i="1"/>
  <c r="J42" i="1"/>
  <c r="J49" i="1"/>
  <c r="J51" i="1"/>
  <c r="J45" i="1"/>
  <c r="K14" i="1"/>
  <c r="J9" i="1"/>
  <c r="K49" i="1"/>
  <c r="J33" i="1"/>
  <c r="J39" i="1"/>
  <c r="J4" i="1"/>
  <c r="J21" i="1"/>
  <c r="J34" i="1"/>
  <c r="O16" i="1"/>
  <c r="J23" i="1"/>
  <c r="O35" i="1"/>
  <c r="J47" i="1"/>
  <c r="N23" i="1"/>
  <c r="O23" i="1" s="1"/>
  <c r="J37" i="1"/>
  <c r="O47" i="1"/>
  <c r="K22" i="2"/>
  <c r="K32" i="1"/>
  <c r="K39" i="1"/>
  <c r="O8" i="1"/>
  <c r="J8" i="1"/>
  <c r="O32" i="1"/>
  <c r="J32" i="1"/>
  <c r="G51" i="1"/>
  <c r="G53" i="1" s="1"/>
  <c r="J22" i="1"/>
  <c r="I53" i="1"/>
  <c r="I51" i="1"/>
  <c r="N38" i="1"/>
  <c r="O38" i="1" s="1"/>
  <c r="J18" i="1"/>
  <c r="O18" i="1"/>
  <c r="O48" i="1"/>
  <c r="J48" i="1"/>
  <c r="K28" i="1"/>
  <c r="O28" i="1"/>
  <c r="J28" i="1"/>
  <c r="N44" i="1"/>
  <c r="O44" i="1" s="1"/>
  <c r="O4" i="1"/>
  <c r="K19" i="1"/>
  <c r="J19" i="1"/>
  <c r="J44" i="1"/>
  <c r="K10" i="1"/>
  <c r="K24" i="1"/>
  <c r="J29" i="1"/>
  <c r="K5" i="1"/>
  <c r="J10" i="1"/>
  <c r="K15" i="1"/>
  <c r="J15" i="1"/>
  <c r="N24" i="1"/>
  <c r="O24" i="1" s="1"/>
  <c r="J24" i="1"/>
  <c r="J40" i="1"/>
  <c r="N10" i="1"/>
  <c r="O10" i="1" s="1"/>
  <c r="K11" i="1"/>
  <c r="J20" i="1"/>
  <c r="K30" i="1"/>
  <c r="J6" i="1"/>
  <c r="O11" i="1"/>
  <c r="J11" i="1"/>
  <c r="J25" i="1"/>
  <c r="N30" i="1"/>
  <c r="O30" i="1" s="1"/>
  <c r="J30" i="1"/>
  <c r="J50" i="1"/>
  <c r="K25" i="1"/>
  <c r="K36" i="1"/>
  <c r="J16" i="1"/>
  <c r="K41" i="1"/>
  <c r="K7" i="1"/>
  <c r="O12" i="1"/>
  <c r="J36" i="1"/>
  <c r="J46" i="1"/>
  <c r="J7" i="1"/>
  <c r="N7" i="1"/>
  <c r="O7" i="1" s="1"/>
  <c r="J12" i="1"/>
  <c r="O25" i="1"/>
  <c r="J31" i="1"/>
  <c r="K26" i="1"/>
  <c r="O26" i="1"/>
  <c r="J26" i="1"/>
  <c r="J43" i="1"/>
  <c r="I54" i="1"/>
  <c r="G54" i="1"/>
  <c r="O17" i="1"/>
  <c r="O19" i="2"/>
  <c r="J19" i="2"/>
  <c r="K34" i="2"/>
  <c r="I50" i="2"/>
  <c r="O38" i="2"/>
  <c r="J38" i="2"/>
  <c r="O16" i="2"/>
  <c r="K47" i="2"/>
  <c r="K46" i="2"/>
  <c r="J46" i="2"/>
  <c r="K6" i="2"/>
  <c r="K12" i="2"/>
  <c r="J12" i="2"/>
  <c r="K42" i="2"/>
  <c r="J42" i="2"/>
  <c r="K19" i="2"/>
  <c r="J5" i="2"/>
  <c r="J23" i="2"/>
  <c r="J27" i="2"/>
  <c r="J16" i="2"/>
  <c r="J31" i="2"/>
  <c r="N5" i="2"/>
  <c r="O5" i="2" s="1"/>
  <c r="J39" i="2"/>
  <c r="N16" i="2"/>
  <c r="J20" i="2"/>
  <c r="K39" i="2"/>
  <c r="J43" i="2"/>
  <c r="J47" i="2"/>
  <c r="J13" i="2"/>
  <c r="K43" i="2"/>
  <c r="J24" i="2"/>
  <c r="N20" i="2"/>
  <c r="O20" i="2" s="1"/>
  <c r="N6" i="2"/>
  <c r="O6" i="2" s="1"/>
  <c r="G48" i="2"/>
  <c r="I51" i="2" s="1"/>
  <c r="J25" i="2"/>
  <c r="I48" i="2"/>
  <c r="J7" i="2"/>
  <c r="K14" i="2"/>
  <c r="J29" i="2"/>
  <c r="K33" i="2"/>
  <c r="G50" i="2"/>
  <c r="J41" i="2"/>
  <c r="J45" i="2"/>
  <c r="J4" i="2"/>
  <c r="K4" i="2"/>
  <c r="N11" i="2"/>
  <c r="O11" i="2" s="1"/>
  <c r="G51" i="2"/>
</calcChain>
</file>

<file path=xl/sharedStrings.xml><?xml version="1.0" encoding="utf-8"?>
<sst xmlns="http://schemas.openxmlformats.org/spreadsheetml/2006/main" count="240" uniqueCount="87">
  <si>
    <t>SALA VILLAHERMOSA</t>
  </si>
  <si>
    <t xml:space="preserve">días </t>
  </si>
  <si>
    <t>TC. PROM</t>
  </si>
  <si>
    <t>No.</t>
  </si>
  <si>
    <t>.</t>
  </si>
  <si>
    <t>MARCA</t>
  </si>
  <si>
    <t>AREA</t>
  </si>
  <si>
    <t>CANT.</t>
  </si>
  <si>
    <t>COIN IN</t>
  </si>
  <si>
    <t>COIN IN PROM</t>
  </si>
  <si>
    <t>NETWIN</t>
  </si>
  <si>
    <t>NW PROM</t>
  </si>
  <si>
    <t>% RET</t>
  </si>
  <si>
    <t>COIN VS. MES ANT.</t>
  </si>
  <si>
    <t>COSTO DIA</t>
  </si>
  <si>
    <t>GANANCIA POR DIA</t>
  </si>
  <si>
    <t>PROVEEDOR</t>
  </si>
  <si>
    <t>AINSWORTH 50K</t>
  </si>
  <si>
    <t>ZITRO FUSION LINK KING</t>
  </si>
  <si>
    <t>AINSWORTH 250K</t>
  </si>
  <si>
    <t>ZITRO ALLURE MIGHTY HAMMER</t>
  </si>
  <si>
    <t>AINSWORTH A743C</t>
  </si>
  <si>
    <t>IGT 96499812 CURVE PROSPERITY LINK</t>
  </si>
  <si>
    <t>ZITRO ALLURE FU FROGS / FU POTS</t>
  </si>
  <si>
    <t>GOLDCLUB</t>
  </si>
  <si>
    <t>EGT VS-17 VIP</t>
  </si>
  <si>
    <t>AINSWORTH A560-S32</t>
  </si>
  <si>
    <t>ZITRO ALTIUS EPIC KINGDOM</t>
  </si>
  <si>
    <t>AINSWORTH A620 MUSTANG MONEY</t>
  </si>
  <si>
    <t>AINSWORTH 25K</t>
  </si>
  <si>
    <t>LUDICUS BINTIA</t>
  </si>
  <si>
    <t>AINSWORTH A560-H</t>
  </si>
  <si>
    <t>AINSWORTH 75K</t>
  </si>
  <si>
    <t>OXYGEN SLANT</t>
  </si>
  <si>
    <t>TOTAL/MEDIA</t>
  </si>
  <si>
    <t>No Fumadores</t>
  </si>
  <si>
    <t>EIBE VSR</t>
  </si>
  <si>
    <t>NETWIN REDIMIBLE</t>
  </si>
  <si>
    <t>PROMOCIONES REDIMIBLES</t>
  </si>
  <si>
    <t>PAGOS MANUALES</t>
  </si>
  <si>
    <t>ZITRO FUSION TRIPLE CHARMS</t>
  </si>
  <si>
    <t>JUGADAS</t>
  </si>
  <si>
    <t>JUGADAS PROM</t>
  </si>
  <si>
    <t>EGT G55 VS26 BELL LINK</t>
  </si>
  <si>
    <t>EGT G50 VS33 BELL LINK</t>
  </si>
  <si>
    <t>EGT G55 VS27 GENERAL COLECTION</t>
  </si>
  <si>
    <t>APEX PINNACLE 27 BS</t>
  </si>
  <si>
    <t>EGT P27/27 VS 9-1 COLLECTION LADYS CARDS</t>
  </si>
  <si>
    <t>EGT PS 3-1 RULETA</t>
  </si>
  <si>
    <t>AINSWORTH A743C SAN FA</t>
  </si>
  <si>
    <t>EGT VS-35 VIP</t>
  </si>
  <si>
    <t>NOVOMATIC FV833</t>
  </si>
  <si>
    <t>NOVOMATIC FV680</t>
  </si>
  <si>
    <t>NOVOMATIC FV640C F2 CASH CONNECTION</t>
  </si>
  <si>
    <t>NOVOMATIC FV626</t>
  </si>
  <si>
    <t>NOVOMATIC FV640</t>
  </si>
  <si>
    <t>BALLY ALPHA 2 88 FORTUNES</t>
  </si>
  <si>
    <t>ZITRO CONCEPT LEGENDARY SWORD</t>
  </si>
  <si>
    <t>FBM AURIA</t>
  </si>
  <si>
    <t>Fumadores</t>
  </si>
  <si>
    <t>EGT G50V VS34 SUPREME SELECTION</t>
  </si>
  <si>
    <t>NOVOMATIC FV837B SUPERIA GAMES</t>
  </si>
  <si>
    <t>EIBE OVISION</t>
  </si>
  <si>
    <t>AINSWORTH A727 MULTIWIN</t>
  </si>
  <si>
    <t>AINSWORTH A727 MEGACHOICE</t>
  </si>
  <si>
    <t>AINSWORTH A849 RAPTOR</t>
  </si>
  <si>
    <t>AINSWORTH A727 YEAR OF THE SNAKE</t>
  </si>
  <si>
    <t>AINSWORTH A727 FORTUNE BULL</t>
  </si>
  <si>
    <t>MAYO 2026</t>
  </si>
  <si>
    <t>SALA COATZACOALCOS</t>
  </si>
  <si>
    <t>EGT P42 CURVED VS15 COLLECTION LADYS CARDS</t>
  </si>
  <si>
    <t>EGT G50 VS33 WINNER SELECTION</t>
  </si>
  <si>
    <t>APEX OTIUM</t>
  </si>
  <si>
    <t>ZITRO FUSION LINK ME</t>
  </si>
  <si>
    <t>WILLIAMS BB2</t>
  </si>
  <si>
    <t>IGT 96499306 G23</t>
  </si>
  <si>
    <t>EIBE OFUTURE</t>
  </si>
  <si>
    <t>OXYGEN UPRIGHT</t>
  </si>
  <si>
    <t>WILLIAMS BLADE</t>
  </si>
  <si>
    <t>NOVOMATIC FV600</t>
  </si>
  <si>
    <t>EGT G27/27 VS22 GENERAL SERIES</t>
  </si>
  <si>
    <t>ZITRO ALLURE HAUNTED FORTUNE</t>
  </si>
  <si>
    <t>ZITRO ALLURE MERGING FU POTS</t>
  </si>
  <si>
    <t>ZITRO ALLURE DEVILS LINK</t>
  </si>
  <si>
    <t>ZITRO ALLURE NIGHT LINK</t>
  </si>
  <si>
    <t>EIBE O3</t>
  </si>
  <si>
    <t>AINSWORTH A620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</si>
</sst>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5" formatCode="&quot;$&quot;#,##0"/>
    <numFmt numFmtId="166" formatCode="0.0000"/>
    <numFmt numFmtId="167" formatCode="_-&quot;$&quot;* #,##0_-;\-&quot;$&quot;* #,##0_-;_-&quot;$&quot;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i/>
      <sz val="11"/>
      <name val="Arial"/>
      <family val="2"/>
    </font>
    <font>
      <i/>
      <u/>
      <sz val="11"/>
      <name val="Arial"/>
      <family val="2"/>
    </font>
    <font>
      <sz val="11"/>
      <color rgb="FF2F2F2F"/>
      <name val="Arial"/>
      <family val="2"/>
    </font>
    <font>
      <b/>
      <sz val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 applyAlignment="1">
      <alignment horizontal="center"/>
    </xf>
    <xf numFmtId="38" fontId="3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  <xf numFmtId="44" fontId="3" fillId="0" borderId="0" xfId="1" applyFont="1" applyAlignment="1">
      <alignment horizontal="right"/>
    </xf>
    <xf numFmtId="0" fontId="7" fillId="0" borderId="0" xfId="0" applyFont="1" applyAlignment="1">
      <alignment horizontal="center"/>
    </xf>
    <xf numFmtId="0" fontId="8" fillId="0" borderId="0" xfId="0" applyFont="1"/>
    <xf numFmtId="166" fontId="9" fillId="0" borderId="1" xfId="0" applyNumberFormat="1" applyFont="1" applyBorder="1" applyAlignment="1">
      <alignment horizontal="center"/>
    </xf>
    <xf numFmtId="0" fontId="10" fillId="0" borderId="0" xfId="0" applyFont="1" applyAlignment="1">
      <alignment horizontal="center" wrapText="1"/>
    </xf>
    <xf numFmtId="165" fontId="10" fillId="0" borderId="0" xfId="0" applyNumberFormat="1" applyFont="1" applyAlignment="1">
      <alignment horizontal="center" wrapText="1"/>
    </xf>
    <xf numFmtId="38" fontId="11" fillId="0" borderId="0" xfId="0" applyNumberFormat="1" applyFont="1" applyAlignment="1">
      <alignment horizontal="center" wrapText="1"/>
    </xf>
    <xf numFmtId="0" fontId="12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44" fontId="11" fillId="0" borderId="2" xfId="1" applyFont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38" fontId="11" fillId="0" borderId="2" xfId="0" applyNumberFormat="1" applyFont="1" applyBorder="1" applyAlignment="1">
      <alignment horizontal="center" vertical="center" wrapText="1"/>
    </xf>
    <xf numFmtId="8" fontId="3" fillId="0" borderId="0" xfId="1" applyNumberFormat="1" applyFont="1" applyAlignment="1">
      <alignment horizontal="center"/>
    </xf>
    <xf numFmtId="8" fontId="3" fillId="0" borderId="0" xfId="1" applyNumberFormat="1" applyFont="1" applyBorder="1" applyAlignment="1">
      <alignment horizontal="center"/>
    </xf>
    <xf numFmtId="167" fontId="14" fillId="0" borderId="0" xfId="1" applyNumberFormat="1" applyFont="1" applyAlignment="1">
      <alignment horizontal="center"/>
    </xf>
    <xf numFmtId="10" fontId="14" fillId="0" borderId="0" xfId="2" applyNumberFormat="1" applyFont="1" applyAlignment="1">
      <alignment horizontal="center"/>
    </xf>
    <xf numFmtId="9" fontId="3" fillId="0" borderId="0" xfId="2" applyFont="1" applyAlignment="1">
      <alignment horizontal="center"/>
    </xf>
    <xf numFmtId="165" fontId="3" fillId="0" borderId="0" xfId="1" applyNumberFormat="1" applyFont="1" applyAlignment="1">
      <alignment horizontal="center"/>
    </xf>
    <xf numFmtId="38" fontId="14" fillId="0" borderId="0" xfId="0" applyNumberFormat="1" applyFont="1" applyAlignment="1">
      <alignment horizontal="center"/>
    </xf>
    <xf numFmtId="165" fontId="3" fillId="0" borderId="0" xfId="1" applyNumberFormat="1" applyFont="1" applyBorder="1" applyAlignment="1">
      <alignment horizontal="center"/>
    </xf>
    <xf numFmtId="165" fontId="3" fillId="0" borderId="0" xfId="1" applyNumberFormat="1" applyFont="1" applyFill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67" fontId="13" fillId="0" borderId="0" xfId="0" applyNumberFormat="1" applyFont="1" applyAlignment="1">
      <alignment horizontal="center"/>
    </xf>
    <xf numFmtId="165" fontId="13" fillId="0" borderId="0" xfId="0" applyNumberFormat="1" applyFont="1" applyAlignment="1">
      <alignment horizontal="center"/>
    </xf>
    <xf numFmtId="38" fontId="12" fillId="0" borderId="0" xfId="0" applyNumberFormat="1" applyFont="1" applyAlignment="1">
      <alignment horizontal="center"/>
    </xf>
    <xf numFmtId="8" fontId="3" fillId="0" borderId="0" xfId="1" applyNumberFormat="1" applyFont="1"/>
    <xf numFmtId="44" fontId="3" fillId="0" borderId="0" xfId="1" applyFont="1"/>
    <xf numFmtId="8" fontId="13" fillId="0" borderId="0" xfId="0" applyNumberFormat="1" applyFont="1" applyAlignment="1">
      <alignment horizontal="center"/>
    </xf>
    <xf numFmtId="6" fontId="14" fillId="0" borderId="0" xfId="1" applyNumberFormat="1" applyFont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horizontal="center"/>
    </xf>
    <xf numFmtId="164" fontId="2" fillId="0" borderId="0" xfId="1" applyNumberFormat="1" applyFont="1" applyFill="1" applyBorder="1" applyAlignment="1">
      <alignment horizontal="center"/>
    </xf>
    <xf numFmtId="164" fontId="16" fillId="0" borderId="0" xfId="1" applyNumberFormat="1" applyFont="1" applyFill="1" applyAlignment="1">
      <alignment horizontal="center"/>
    </xf>
    <xf numFmtId="3" fontId="3" fillId="0" borderId="0" xfId="2" applyNumberFormat="1" applyFont="1" applyAlignment="1">
      <alignment horizontal="center"/>
    </xf>
    <xf numFmtId="167" fontId="13" fillId="0" borderId="0" xfId="0" applyNumberFormat="1" applyFont="1" applyAlignment="1">
      <alignment horizontal="center" vertical="center"/>
    </xf>
    <xf numFmtId="6" fontId="13" fillId="0" borderId="0" xfId="1" applyNumberFormat="1" applyFont="1" applyBorder="1" applyAlignment="1">
      <alignment horizontal="center" vertical="center"/>
    </xf>
    <xf numFmtId="44" fontId="3" fillId="0" borderId="0" xfId="0" applyNumberFormat="1" applyFont="1"/>
    <xf numFmtId="0" fontId="7" fillId="0" borderId="0" xfId="0" applyFont="1" applyAlignment="1">
      <alignment horizontal="left"/>
    </xf>
    <xf numFmtId="44" fontId="11" fillId="0" borderId="2" xfId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7" fontId="3" fillId="0" borderId="0" xfId="1" applyNumberFormat="1" applyFont="1" applyAlignment="1">
      <alignment horizontal="center"/>
    </xf>
    <xf numFmtId="44" fontId="3" fillId="0" borderId="0" xfId="1" applyFont="1" applyAlignment="1">
      <alignment horizontal="center"/>
    </xf>
    <xf numFmtId="44" fontId="13" fillId="0" borderId="0" xfId="1" applyFont="1" applyAlignment="1">
      <alignment horizontal="center"/>
    </xf>
    <xf numFmtId="0" fontId="3" fillId="0" borderId="0" xfId="0" applyFont="1" applyAlignment="1">
      <alignment horizontal="right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EDB27-1B31-4299-8967-070EE0739EF4}">
  <sheetPr>
    <tabColor rgb="FF00B050"/>
    <pageSetUpPr fitToPage="1"/>
  </sheetPr>
  <dimension ref="A1:T54"/>
  <sheetViews>
    <sheetView showGridLines="0" view="pageBreakPreview" zoomScale="85" zoomScaleNormal="85" zoomScaleSheetLayoutView="85" workbookViewId="0">
      <selection activeCell="C30" sqref="C30"/>
    </sheetView>
  </sheetViews>
  <sheetFormatPr baseColWidth="10" defaultColWidth="10.85546875" defaultRowHeight="14.25" x14ac:dyDescent="0.2"/>
  <cols>
    <col min="1" max="1" width="5" style="1" bestFit="1" customWidth="1"/>
    <col min="2" max="2" width="14.42578125" style="2" bestFit="1" customWidth="1"/>
    <col min="3" max="3" width="50.140625" style="3" bestFit="1" customWidth="1"/>
    <col min="4" max="4" width="25.85546875" style="1" bestFit="1" customWidth="1"/>
    <col min="5" max="5" width="10.7109375" style="4" bestFit="1" customWidth="1"/>
    <col min="6" max="6" width="16.28515625" style="4" bestFit="1" customWidth="1"/>
    <col min="7" max="7" width="15.7109375" style="41" bestFit="1" customWidth="1"/>
    <col min="8" max="8" width="15.5703125" style="5" customWidth="1"/>
    <col min="9" max="9" width="13.5703125" style="4" bestFit="1" customWidth="1"/>
    <col min="10" max="10" width="10.5703125" style="1" bestFit="1" customWidth="1"/>
    <col min="11" max="11" width="17.85546875" style="1" bestFit="1" customWidth="1"/>
    <col min="12" max="12" width="11.5703125" style="1" bestFit="1" customWidth="1"/>
    <col min="13" max="13" width="10.7109375" style="1" customWidth="1"/>
    <col min="14" max="14" width="10.7109375" style="6" customWidth="1"/>
    <col min="15" max="15" width="10.7109375" style="7" customWidth="1"/>
    <col min="16" max="16" width="16.7109375" style="1" bestFit="1" customWidth="1"/>
    <col min="17" max="17" width="17" style="41" bestFit="1" customWidth="1"/>
    <col min="18" max="18" width="14.140625" style="1" bestFit="1" customWidth="1"/>
    <col min="19" max="19" width="12.85546875" style="1" bestFit="1" customWidth="1"/>
    <col min="20" max="20" width="16.42578125" style="1" bestFit="1" customWidth="1"/>
    <col min="21" max="16384" width="10.85546875" style="4"/>
  </cols>
  <sheetData>
    <row r="1" spans="1:17" s="1" customFormat="1" ht="24" thickBot="1" x14ac:dyDescent="0.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Q1" s="41"/>
    </row>
    <row r="2" spans="1:17" s="1" customFormat="1" ht="24" thickBot="1" x14ac:dyDescent="0.4">
      <c r="A2" s="9" t="s">
        <v>68</v>
      </c>
      <c r="B2" s="9"/>
      <c r="C2" s="9"/>
      <c r="D2" s="9"/>
      <c r="E2" s="10"/>
      <c r="F2" s="10"/>
      <c r="G2" s="11" t="s">
        <v>1</v>
      </c>
      <c r="H2" s="12">
        <v>31</v>
      </c>
      <c r="I2" s="13" t="s">
        <v>2</v>
      </c>
      <c r="J2" s="14">
        <v>17.2532</v>
      </c>
      <c r="K2" s="15"/>
      <c r="L2" s="15"/>
      <c r="M2" s="15"/>
      <c r="N2" s="16"/>
      <c r="O2" s="17"/>
      <c r="Q2" s="41"/>
    </row>
    <row r="3" spans="1:17" s="1" customFormat="1" ht="25.5" x14ac:dyDescent="0.2">
      <c r="A3" s="18" t="s">
        <v>3</v>
      </c>
      <c r="B3" s="19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20" t="s">
        <v>9</v>
      </c>
      <c r="H3" s="21" t="s">
        <v>10</v>
      </c>
      <c r="I3" s="22" t="s">
        <v>11</v>
      </c>
      <c r="J3" s="22" t="s">
        <v>12</v>
      </c>
      <c r="K3" s="23" t="s">
        <v>13</v>
      </c>
      <c r="L3" s="23" t="s">
        <v>41</v>
      </c>
      <c r="M3" s="23" t="s">
        <v>42</v>
      </c>
      <c r="N3" s="24" t="s">
        <v>14</v>
      </c>
      <c r="O3" s="25" t="s">
        <v>15</v>
      </c>
      <c r="Q3" s="41"/>
    </row>
    <row r="4" spans="1:17" s="1" customFormat="1" ht="15" x14ac:dyDescent="0.2">
      <c r="A4" s="1">
        <v>1</v>
      </c>
      <c r="B4" s="2"/>
      <c r="C4" s="3" t="s">
        <v>46</v>
      </c>
      <c r="D4" s="1" t="s">
        <v>35</v>
      </c>
      <c r="E4" s="1">
        <v>6</v>
      </c>
      <c r="F4" s="26">
        <v>16595015</v>
      </c>
      <c r="G4" s="27">
        <f t="shared" ref="G4:G50" si="0">F4/E4/H$2</f>
        <v>89220.510752688177</v>
      </c>
      <c r="H4" s="26">
        <v>696994.52</v>
      </c>
      <c r="I4" s="43">
        <f t="shared" ref="I4:I50" si="1">H4/E4/$H$2</f>
        <v>3747.282365591398</v>
      </c>
      <c r="J4" s="29">
        <f t="shared" ref="J4:J50" si="2">I4/G4</f>
        <v>4.2000234407742323E-2</v>
      </c>
      <c r="K4" s="30" t="e">
        <f>(VLOOKUP(C4,$C$4:$J$50,5,0)-VLOOKUP(C4,#REF!,5,0))/VLOOKUP(C4,#REF!,5,0)</f>
        <v>#REF!</v>
      </c>
      <c r="L4" s="48">
        <v>983338</v>
      </c>
      <c r="M4" s="48">
        <f t="shared" ref="M4:M50" si="3">L4/E4/H$2</f>
        <v>5286.7634408602144</v>
      </c>
      <c r="N4" s="31">
        <f>(2900*J$2)/6/H$2</f>
        <v>269.00150537634408</v>
      </c>
      <c r="O4" s="32">
        <f t="shared" ref="O4:O50" si="4">I4-N4</f>
        <v>3478.280860215054</v>
      </c>
      <c r="Q4" s="41"/>
    </row>
    <row r="5" spans="1:17" s="1" customFormat="1" ht="15" x14ac:dyDescent="0.2">
      <c r="A5" s="1">
        <v>2</v>
      </c>
      <c r="B5" s="2"/>
      <c r="C5" s="3" t="s">
        <v>18</v>
      </c>
      <c r="D5" s="1" t="s">
        <v>59</v>
      </c>
      <c r="E5" s="1">
        <v>8</v>
      </c>
      <c r="F5" s="26">
        <v>19648720</v>
      </c>
      <c r="G5" s="27">
        <f t="shared" si="0"/>
        <v>79228.709677419349</v>
      </c>
      <c r="H5" s="26">
        <v>1245889.5699999998</v>
      </c>
      <c r="I5" s="43">
        <f t="shared" si="1"/>
        <v>5023.7482661290314</v>
      </c>
      <c r="J5" s="29">
        <f t="shared" si="2"/>
        <v>6.3408179769470982E-2</v>
      </c>
      <c r="K5" s="30" t="e">
        <f>(VLOOKUP(C5,$C$4:$J$50,5,0)-VLOOKUP(C5,#REF!,5,0))/VLOOKUP(C5,#REF!,5,0)</f>
        <v>#REF!</v>
      </c>
      <c r="L5" s="48">
        <v>1331933</v>
      </c>
      <c r="M5" s="48">
        <f t="shared" si="3"/>
        <v>5370.697580645161</v>
      </c>
      <c r="N5" s="31">
        <f>((14805.16/16/30)*1.16)*J$2</f>
        <v>617.30460073733332</v>
      </c>
      <c r="O5" s="32">
        <f t="shared" si="4"/>
        <v>4406.4436653916982</v>
      </c>
      <c r="Q5" s="41"/>
    </row>
    <row r="6" spans="1:17" s="1" customFormat="1" ht="15" x14ac:dyDescent="0.2">
      <c r="A6" s="1">
        <v>3</v>
      </c>
      <c r="B6" s="2"/>
      <c r="C6" s="3" t="s">
        <v>57</v>
      </c>
      <c r="D6" s="1" t="s">
        <v>59</v>
      </c>
      <c r="E6" s="1">
        <v>8</v>
      </c>
      <c r="F6" s="26">
        <v>18734053.199999999</v>
      </c>
      <c r="G6" s="27">
        <f t="shared" si="0"/>
        <v>75540.537096774191</v>
      </c>
      <c r="H6" s="26">
        <v>1410966.4</v>
      </c>
      <c r="I6" s="43">
        <f t="shared" si="1"/>
        <v>5689.38064516129</v>
      </c>
      <c r="J6" s="29">
        <f t="shared" si="2"/>
        <v>7.5315596947274605E-2</v>
      </c>
      <c r="K6" s="30" t="e">
        <f>(VLOOKUP(C6,$C$4:$J$50,5,0)-VLOOKUP(C6,#REF!,5,0))/VLOOKUP(C6,#REF!,5,0)</f>
        <v>#REF!</v>
      </c>
      <c r="L6" s="48">
        <v>1343041</v>
      </c>
      <c r="M6" s="48">
        <f t="shared" si="3"/>
        <v>5415.4879032258068</v>
      </c>
      <c r="N6" s="31">
        <v>0</v>
      </c>
      <c r="O6" s="32">
        <f t="shared" si="4"/>
        <v>5689.38064516129</v>
      </c>
      <c r="Q6" s="41"/>
    </row>
    <row r="7" spans="1:17" s="1" customFormat="1" ht="15" x14ac:dyDescent="0.2">
      <c r="A7" s="1">
        <v>4</v>
      </c>
      <c r="B7" s="2"/>
      <c r="C7" s="3" t="s">
        <v>20</v>
      </c>
      <c r="D7" s="1" t="s">
        <v>59</v>
      </c>
      <c r="E7" s="1">
        <v>8</v>
      </c>
      <c r="F7" s="26">
        <v>14945184</v>
      </c>
      <c r="G7" s="27">
        <f t="shared" si="0"/>
        <v>60262.838709677417</v>
      </c>
      <c r="H7" s="26">
        <v>1233993.33</v>
      </c>
      <c r="I7" s="43">
        <f t="shared" si="1"/>
        <v>4975.7795564516136</v>
      </c>
      <c r="J7" s="29">
        <f t="shared" si="2"/>
        <v>8.2567958346983231E-2</v>
      </c>
      <c r="K7" s="30" t="e">
        <f>(VLOOKUP(C7,$C$4:$J$50,5,0)-VLOOKUP(C7,#REF!,5,0))/VLOOKUP(C7,#REF!,5,0)</f>
        <v>#REF!</v>
      </c>
      <c r="L7" s="48">
        <v>830577</v>
      </c>
      <c r="M7" s="48">
        <f t="shared" si="3"/>
        <v>3349.1008064516127</v>
      </c>
      <c r="N7" s="31">
        <f>I7*0.23*1.16</f>
        <v>1327.5379856612906</v>
      </c>
      <c r="O7" s="32">
        <f t="shared" si="4"/>
        <v>3648.2415707903228</v>
      </c>
      <c r="Q7" s="41"/>
    </row>
    <row r="8" spans="1:17" s="1" customFormat="1" ht="15" x14ac:dyDescent="0.2">
      <c r="A8" s="1">
        <v>5</v>
      </c>
      <c r="B8" s="2"/>
      <c r="C8" s="3" t="s">
        <v>27</v>
      </c>
      <c r="D8" s="1" t="s">
        <v>59</v>
      </c>
      <c r="E8" s="1">
        <v>4</v>
      </c>
      <c r="F8" s="26">
        <v>7081440.4000000004</v>
      </c>
      <c r="G8" s="27">
        <f t="shared" si="0"/>
        <v>57108.39032258065</v>
      </c>
      <c r="H8" s="26">
        <v>503186.13</v>
      </c>
      <c r="I8" s="43">
        <f t="shared" si="1"/>
        <v>4057.9526612903228</v>
      </c>
      <c r="J8" s="29">
        <f t="shared" si="2"/>
        <v>7.105703099612333E-2</v>
      </c>
      <c r="K8" s="30" t="e">
        <f>(VLOOKUP(C8,$C$4:$J$50,5,0)-VLOOKUP(C8,#REF!,5,0))/VLOOKUP(C8,#REF!,5,0)</f>
        <v>#REF!</v>
      </c>
      <c r="L8" s="48">
        <v>522811</v>
      </c>
      <c r="M8" s="48">
        <f t="shared" si="3"/>
        <v>4216.2177419354839</v>
      </c>
      <c r="N8" s="31">
        <f>((7850.63/4/30)*1.16)*J$2</f>
        <v>1309.3353986546665</v>
      </c>
      <c r="O8" s="32">
        <f t="shared" si="4"/>
        <v>2748.6172626356565</v>
      </c>
      <c r="Q8" s="41"/>
    </row>
    <row r="9" spans="1:17" s="1" customFormat="1" ht="15" x14ac:dyDescent="0.2">
      <c r="A9" s="1">
        <v>6</v>
      </c>
      <c r="B9" s="2"/>
      <c r="C9" s="3" t="s">
        <v>63</v>
      </c>
      <c r="D9" s="1" t="s">
        <v>59</v>
      </c>
      <c r="E9" s="1">
        <v>8</v>
      </c>
      <c r="F9" s="26">
        <v>12686115.199999999</v>
      </c>
      <c r="G9" s="27">
        <f t="shared" si="0"/>
        <v>51153.690322580645</v>
      </c>
      <c r="H9" s="26">
        <v>762293.55</v>
      </c>
      <c r="I9" s="43">
        <f t="shared" si="1"/>
        <v>3073.7643145161292</v>
      </c>
      <c r="J9" s="29">
        <f t="shared" si="2"/>
        <v>6.0088808747377605E-2</v>
      </c>
      <c r="K9" s="30" t="e">
        <f>(VLOOKUP(C9,$C$4:$J$50,5,0)-VLOOKUP(C9,#REF!,5,0))/VLOOKUP(C9,#REF!,5,0)</f>
        <v>#REF!</v>
      </c>
      <c r="L9" s="48">
        <v>1333771</v>
      </c>
      <c r="M9" s="48">
        <f t="shared" si="3"/>
        <v>5378.1088709677415</v>
      </c>
      <c r="N9" s="31">
        <v>0</v>
      </c>
      <c r="O9" s="32">
        <f t="shared" si="4"/>
        <v>3073.7643145161292</v>
      </c>
      <c r="Q9" s="41"/>
    </row>
    <row r="10" spans="1:17" s="1" customFormat="1" ht="15" x14ac:dyDescent="0.2">
      <c r="A10" s="1">
        <v>7</v>
      </c>
      <c r="B10" s="2"/>
      <c r="C10" s="3" t="s">
        <v>48</v>
      </c>
      <c r="D10" s="1" t="s">
        <v>35</v>
      </c>
      <c r="E10" s="1">
        <v>4</v>
      </c>
      <c r="F10" s="26">
        <v>5901009.25</v>
      </c>
      <c r="G10" s="27">
        <f t="shared" si="0"/>
        <v>47588.784274193546</v>
      </c>
      <c r="H10" s="26">
        <v>233076.56</v>
      </c>
      <c r="I10" s="43">
        <f t="shared" si="1"/>
        <v>1879.6496774193549</v>
      </c>
      <c r="J10" s="29">
        <f t="shared" si="2"/>
        <v>3.9497745237393085E-2</v>
      </c>
      <c r="K10" s="30" t="e">
        <f>(VLOOKUP(C10,$C$4:$J$50,5,0)-VLOOKUP(C10,#REF!,5,0))/VLOOKUP(C10,#REF!,5,0)</f>
        <v>#REF!</v>
      </c>
      <c r="L10" s="48">
        <v>1102654</v>
      </c>
      <c r="M10" s="48">
        <f t="shared" si="3"/>
        <v>8892.3709677419356</v>
      </c>
      <c r="N10" s="31">
        <f>I10*0.2*1.16</f>
        <v>436.07872516129038</v>
      </c>
      <c r="O10" s="32">
        <f t="shared" si="4"/>
        <v>1443.5709522580646</v>
      </c>
      <c r="Q10" s="41"/>
    </row>
    <row r="11" spans="1:17" s="1" customFormat="1" ht="15" x14ac:dyDescent="0.2">
      <c r="A11" s="1">
        <v>8</v>
      </c>
      <c r="B11" s="2"/>
      <c r="C11" s="3" t="s">
        <v>21</v>
      </c>
      <c r="D11" s="1" t="s">
        <v>59</v>
      </c>
      <c r="E11" s="1">
        <v>4</v>
      </c>
      <c r="F11" s="26">
        <v>5840928.5</v>
      </c>
      <c r="G11" s="27">
        <f t="shared" si="0"/>
        <v>47104.262096774197</v>
      </c>
      <c r="H11" s="26">
        <v>371427.05</v>
      </c>
      <c r="I11" s="43">
        <f t="shared" si="1"/>
        <v>2995.379435483871</v>
      </c>
      <c r="J11" s="29">
        <f t="shared" si="2"/>
        <v>6.3590412038086061E-2</v>
      </c>
      <c r="K11" s="30" t="e">
        <f>(VLOOKUP(C11,$C$4:$J$50,5,0)-VLOOKUP(C11,#REF!,5,0))/VLOOKUP(C11,#REF!,5,0)</f>
        <v>#REF!</v>
      </c>
      <c r="L11" s="48">
        <v>891478</v>
      </c>
      <c r="M11" s="48">
        <f t="shared" si="3"/>
        <v>7189.3387096774195</v>
      </c>
      <c r="N11" s="31">
        <v>0</v>
      </c>
      <c r="O11" s="32">
        <f t="shared" si="4"/>
        <v>2995.379435483871</v>
      </c>
      <c r="Q11" s="41"/>
    </row>
    <row r="12" spans="1:17" s="1" customFormat="1" ht="15" x14ac:dyDescent="0.2">
      <c r="A12" s="1">
        <v>9</v>
      </c>
      <c r="B12" s="2"/>
      <c r="C12" s="3" t="s">
        <v>43</v>
      </c>
      <c r="D12" s="1" t="s">
        <v>59</v>
      </c>
      <c r="E12" s="1">
        <v>4</v>
      </c>
      <c r="F12" s="26">
        <v>5727585</v>
      </c>
      <c r="G12" s="27">
        <f t="shared" si="0"/>
        <v>46190.201612903227</v>
      </c>
      <c r="H12" s="26">
        <v>485147.7</v>
      </c>
      <c r="I12" s="43">
        <f t="shared" si="1"/>
        <v>3912.4814516129031</v>
      </c>
      <c r="J12" s="29">
        <f t="shared" si="2"/>
        <v>8.470371020246753E-2</v>
      </c>
      <c r="K12" s="30" t="e">
        <f>(VLOOKUP(C12,$C$4:$J$50,5,0)-VLOOKUP(C12,#REF!,5,0))/VLOOKUP(C12,#REF!,5,0)</f>
        <v>#REF!</v>
      </c>
      <c r="L12" s="48">
        <v>350734</v>
      </c>
      <c r="M12" s="48">
        <f t="shared" si="3"/>
        <v>2828.5</v>
      </c>
      <c r="N12" s="31">
        <f>I12*0.2*1.16</f>
        <v>907.69569677419349</v>
      </c>
      <c r="O12" s="32">
        <f t="shared" si="4"/>
        <v>3004.7857548387096</v>
      </c>
      <c r="Q12" s="41"/>
    </row>
    <row r="13" spans="1:17" s="1" customFormat="1" ht="15" x14ac:dyDescent="0.2">
      <c r="A13" s="1">
        <v>10</v>
      </c>
      <c r="B13" s="2" t="s">
        <v>16</v>
      </c>
      <c r="C13" s="3" t="s">
        <v>61</v>
      </c>
      <c r="D13" s="1" t="s">
        <v>59</v>
      </c>
      <c r="E13" s="1">
        <v>6</v>
      </c>
      <c r="F13" s="26">
        <v>8460437.5</v>
      </c>
      <c r="G13" s="27">
        <f t="shared" si="0"/>
        <v>45486.223118279573</v>
      </c>
      <c r="H13" s="26">
        <v>313305.20999999996</v>
      </c>
      <c r="I13" s="43">
        <f t="shared" si="1"/>
        <v>1684.4366129032258</v>
      </c>
      <c r="J13" s="29">
        <f t="shared" si="2"/>
        <v>3.7031797705496902E-2</v>
      </c>
      <c r="K13" s="30" t="e">
        <f>(VLOOKUP(C13,$C$4:$J$50,5,0)-VLOOKUP(C13,#REF!,5,0))/VLOOKUP(C13,#REF!,5,0)</f>
        <v>#REF!</v>
      </c>
      <c r="L13" s="48">
        <v>1161500</v>
      </c>
      <c r="M13" s="48">
        <f t="shared" si="3"/>
        <v>6244.6236559139788</v>
      </c>
      <c r="N13" s="31">
        <v>0</v>
      </c>
      <c r="O13" s="32">
        <f t="shared" si="4"/>
        <v>1684.4366129032258</v>
      </c>
      <c r="Q13" s="41"/>
    </row>
    <row r="14" spans="1:17" s="1" customFormat="1" ht="15" x14ac:dyDescent="0.2">
      <c r="A14" s="1">
        <v>11</v>
      </c>
      <c r="B14" s="2"/>
      <c r="C14" s="3" t="s">
        <v>26</v>
      </c>
      <c r="D14" s="1" t="s">
        <v>35</v>
      </c>
      <c r="E14" s="1">
        <v>5</v>
      </c>
      <c r="F14" s="26">
        <v>6529095.5</v>
      </c>
      <c r="G14" s="27">
        <f t="shared" si="0"/>
        <v>42123.196774193551</v>
      </c>
      <c r="H14" s="26">
        <v>433484.19999999995</v>
      </c>
      <c r="I14" s="43">
        <f t="shared" si="1"/>
        <v>2796.672258064516</v>
      </c>
      <c r="J14" s="29">
        <f t="shared" si="2"/>
        <v>6.6392687930510424E-2</v>
      </c>
      <c r="K14" s="30" t="e">
        <f>(VLOOKUP(C14,$C$4:$J$50,5,0)-VLOOKUP(C14,#REF!,5,0))/VLOOKUP(C14,#REF!,5,0)</f>
        <v>#REF!</v>
      </c>
      <c r="L14" s="48">
        <v>555185</v>
      </c>
      <c r="M14" s="48">
        <f t="shared" si="3"/>
        <v>3581.8387096774195</v>
      </c>
      <c r="N14" s="31">
        <v>0</v>
      </c>
      <c r="O14" s="32">
        <f t="shared" si="4"/>
        <v>2796.672258064516</v>
      </c>
      <c r="Q14" s="41"/>
    </row>
    <row r="15" spans="1:17" s="1" customFormat="1" ht="15" x14ac:dyDescent="0.2">
      <c r="A15" s="1">
        <v>12</v>
      </c>
      <c r="B15" s="2"/>
      <c r="C15" s="3" t="s">
        <v>47</v>
      </c>
      <c r="D15" s="1" t="s">
        <v>35</v>
      </c>
      <c r="E15" s="1">
        <v>8</v>
      </c>
      <c r="F15" s="26">
        <v>10202772.5</v>
      </c>
      <c r="G15" s="27">
        <f t="shared" si="0"/>
        <v>41140.211693548386</v>
      </c>
      <c r="H15" s="26">
        <v>355785.18</v>
      </c>
      <c r="I15" s="43">
        <f t="shared" si="1"/>
        <v>1434.6176612903225</v>
      </c>
      <c r="J15" s="29">
        <f t="shared" si="2"/>
        <v>3.4871421469017366E-2</v>
      </c>
      <c r="K15" s="30" t="e">
        <f>(VLOOKUP(C15,$C$4:$J$50,5,0)-VLOOKUP(C15,#REF!,5,0))/VLOOKUP(C15,#REF!,5,0)</f>
        <v>#REF!</v>
      </c>
      <c r="L15" s="48">
        <v>2374020</v>
      </c>
      <c r="M15" s="48">
        <f t="shared" si="3"/>
        <v>9572.6612903225814</v>
      </c>
      <c r="N15" s="31">
        <v>0</v>
      </c>
      <c r="O15" s="32">
        <f t="shared" si="4"/>
        <v>1434.6176612903225</v>
      </c>
      <c r="Q15" s="41"/>
    </row>
    <row r="16" spans="1:17" s="1" customFormat="1" ht="15" x14ac:dyDescent="0.2">
      <c r="A16" s="1">
        <v>13</v>
      </c>
      <c r="B16" s="2"/>
      <c r="C16" s="3" t="s">
        <v>23</v>
      </c>
      <c r="D16" s="1" t="s">
        <v>59</v>
      </c>
      <c r="E16" s="1">
        <v>8</v>
      </c>
      <c r="F16" s="26">
        <v>10111321.399999999</v>
      </c>
      <c r="G16" s="27">
        <f t="shared" si="0"/>
        <v>40771.457258064511</v>
      </c>
      <c r="H16" s="26">
        <v>1076234.1500000001</v>
      </c>
      <c r="I16" s="43">
        <f t="shared" si="1"/>
        <v>4339.6538306451621</v>
      </c>
      <c r="J16" s="29">
        <f t="shared" si="2"/>
        <v>0.10643852642247138</v>
      </c>
      <c r="K16" s="30" t="e">
        <f>(VLOOKUP(C16,$C$4:$J$50,5,0)-VLOOKUP(C16,#REF!,5,0))/VLOOKUP(C16,#REF!,5,0)</f>
        <v>#REF!</v>
      </c>
      <c r="L16" s="48">
        <v>907881</v>
      </c>
      <c r="M16" s="48">
        <f t="shared" si="3"/>
        <v>3660.8104838709678</v>
      </c>
      <c r="N16" s="31">
        <f>((5076.2/6/30)*1.16)*J$2</f>
        <v>564.40891585777763</v>
      </c>
      <c r="O16" s="32">
        <f t="shared" si="4"/>
        <v>3775.2449147873845</v>
      </c>
      <c r="Q16" s="41"/>
    </row>
    <row r="17" spans="1:17" s="1" customFormat="1" ht="15" x14ac:dyDescent="0.2">
      <c r="A17" s="1">
        <v>14</v>
      </c>
      <c r="B17" s="2"/>
      <c r="C17" s="3" t="s">
        <v>18</v>
      </c>
      <c r="D17" s="1" t="s">
        <v>35</v>
      </c>
      <c r="E17" s="1">
        <v>4</v>
      </c>
      <c r="F17" s="26">
        <v>4838240</v>
      </c>
      <c r="G17" s="27">
        <f t="shared" si="0"/>
        <v>39018.06451612903</v>
      </c>
      <c r="H17" s="26">
        <v>375283.98</v>
      </c>
      <c r="I17" s="43">
        <f t="shared" si="1"/>
        <v>3026.483709677419</v>
      </c>
      <c r="J17" s="29">
        <f t="shared" si="2"/>
        <v>7.7566218294255751E-2</v>
      </c>
      <c r="K17" s="30" t="e">
        <f>(VLOOKUP(C17,$C$4:$J$50,5,0)-VLOOKUP(C17,#REF!,5,0))/VLOOKUP(C17,#REF!,5,0)</f>
        <v>#REF!</v>
      </c>
      <c r="L17" s="48">
        <v>502448</v>
      </c>
      <c r="M17" s="48">
        <f t="shared" si="3"/>
        <v>4052</v>
      </c>
      <c r="N17" s="31">
        <f>((5377.99/8/30)*1.16)*J$2</f>
        <v>448.4730958286666</v>
      </c>
      <c r="O17" s="32">
        <f t="shared" si="4"/>
        <v>2578.0106138487527</v>
      </c>
      <c r="Q17" s="41"/>
    </row>
    <row r="18" spans="1:17" s="1" customFormat="1" ht="15" x14ac:dyDescent="0.2">
      <c r="A18" s="1">
        <v>15</v>
      </c>
      <c r="B18" s="2"/>
      <c r="C18" s="3" t="s">
        <v>64</v>
      </c>
      <c r="D18" s="1" t="s">
        <v>59</v>
      </c>
      <c r="E18" s="1">
        <v>2</v>
      </c>
      <c r="F18" s="26">
        <v>2393261.35</v>
      </c>
      <c r="G18" s="27">
        <f t="shared" si="0"/>
        <v>38600.989516129033</v>
      </c>
      <c r="H18" s="26">
        <v>266327.34999999998</v>
      </c>
      <c r="I18" s="43">
        <f t="shared" si="1"/>
        <v>4295.6024193548383</v>
      </c>
      <c r="J18" s="29">
        <f t="shared" si="2"/>
        <v>0.11128218403727615</v>
      </c>
      <c r="K18" s="30" t="e">
        <f>(VLOOKUP(C18,$C$4:$J$50,5,0)-VLOOKUP(C18,#REF!,5,0))/VLOOKUP(C18,#REF!,5,0)</f>
        <v>#REF!</v>
      </c>
      <c r="L18" s="48">
        <v>262092</v>
      </c>
      <c r="M18" s="48">
        <f t="shared" si="3"/>
        <v>4227.2903225806449</v>
      </c>
      <c r="N18" s="31">
        <v>0</v>
      </c>
      <c r="O18" s="32">
        <f t="shared" si="4"/>
        <v>4295.6024193548383</v>
      </c>
      <c r="Q18" s="41"/>
    </row>
    <row r="19" spans="1:17" s="1" customFormat="1" ht="15" x14ac:dyDescent="0.2">
      <c r="A19" s="1">
        <v>16</v>
      </c>
      <c r="B19" s="2"/>
      <c r="C19" s="3" t="s">
        <v>44</v>
      </c>
      <c r="D19" s="1" t="s">
        <v>35</v>
      </c>
      <c r="E19" s="1">
        <v>4</v>
      </c>
      <c r="F19" s="26">
        <v>4675920</v>
      </c>
      <c r="G19" s="27">
        <f t="shared" si="0"/>
        <v>37709.032258064515</v>
      </c>
      <c r="H19" s="26">
        <v>108869.59999999999</v>
      </c>
      <c r="I19" s="43">
        <f t="shared" si="1"/>
        <v>877.98064516129023</v>
      </c>
      <c r="J19" s="29">
        <f t="shared" si="2"/>
        <v>2.3283033071566664E-2</v>
      </c>
      <c r="K19" s="30" t="e">
        <f>(VLOOKUP(C19,$C$4:$J$50,5,0)-VLOOKUP(C19,#REF!,5,0))/VLOOKUP(C19,#REF!,5,0)</f>
        <v>#REF!</v>
      </c>
      <c r="L19" s="48">
        <v>417739</v>
      </c>
      <c r="M19" s="48">
        <f t="shared" si="3"/>
        <v>3368.8629032258063</v>
      </c>
      <c r="N19" s="31">
        <f>I19*0.2*1.16</f>
        <v>203.69150967741933</v>
      </c>
      <c r="O19" s="32">
        <f t="shared" si="4"/>
        <v>674.28913548387095</v>
      </c>
      <c r="Q19" s="41"/>
    </row>
    <row r="20" spans="1:17" s="1" customFormat="1" ht="15" x14ac:dyDescent="0.2">
      <c r="A20" s="1">
        <v>17</v>
      </c>
      <c r="B20" s="2"/>
      <c r="C20" s="3" t="s">
        <v>32</v>
      </c>
      <c r="D20" s="1" t="s">
        <v>35</v>
      </c>
      <c r="E20" s="1">
        <v>8</v>
      </c>
      <c r="F20" s="26">
        <v>9287017.5</v>
      </c>
      <c r="G20" s="27">
        <f t="shared" si="0"/>
        <v>37447.651209677417</v>
      </c>
      <c r="H20" s="26">
        <v>430154.08</v>
      </c>
      <c r="I20" s="43">
        <f t="shared" si="1"/>
        <v>1734.4922580645161</v>
      </c>
      <c r="J20" s="29">
        <f t="shared" si="2"/>
        <v>4.6317785015479944E-2</v>
      </c>
      <c r="K20" s="30" t="e">
        <f>(VLOOKUP(C20,$C$4:$J$50,5,0)-VLOOKUP(C20,#REF!,5,0))/VLOOKUP(C20,#REF!,5,0)</f>
        <v>#REF!</v>
      </c>
      <c r="L20" s="48">
        <v>439084</v>
      </c>
      <c r="M20" s="48">
        <f t="shared" si="3"/>
        <v>1770.5</v>
      </c>
      <c r="N20" s="31">
        <v>0</v>
      </c>
      <c r="O20" s="32">
        <f t="shared" si="4"/>
        <v>1734.4922580645161</v>
      </c>
      <c r="Q20" s="41"/>
    </row>
    <row r="21" spans="1:17" s="1" customFormat="1" ht="15" x14ac:dyDescent="0.2">
      <c r="A21" s="1">
        <v>18</v>
      </c>
      <c r="B21" s="2"/>
      <c r="C21" s="3" t="s">
        <v>25</v>
      </c>
      <c r="D21" s="1" t="s">
        <v>35</v>
      </c>
      <c r="E21" s="1">
        <v>1</v>
      </c>
      <c r="F21" s="26">
        <v>1160521</v>
      </c>
      <c r="G21" s="27">
        <f t="shared" si="0"/>
        <v>37436.161290322583</v>
      </c>
      <c r="H21" s="26">
        <v>54956.95</v>
      </c>
      <c r="I21" s="43">
        <f t="shared" si="1"/>
        <v>1772.8048387096774</v>
      </c>
      <c r="J21" s="29">
        <f t="shared" si="2"/>
        <v>4.7355411922748482E-2</v>
      </c>
      <c r="K21" s="30" t="e">
        <f>(VLOOKUP(C21,$C$4:$J$50,5,0)-VLOOKUP(C21,#REF!,5,0))/VLOOKUP(C21,#REF!,5,0)</f>
        <v>#REF!</v>
      </c>
      <c r="L21" s="48">
        <v>157520</v>
      </c>
      <c r="M21" s="48">
        <f t="shared" si="3"/>
        <v>5081.2903225806449</v>
      </c>
      <c r="N21" s="31">
        <v>0</v>
      </c>
      <c r="O21" s="32">
        <f t="shared" si="4"/>
        <v>1772.8048387096774</v>
      </c>
      <c r="Q21" s="41"/>
    </row>
    <row r="22" spans="1:17" s="1" customFormat="1" ht="15" x14ac:dyDescent="0.2">
      <c r="A22" s="1">
        <v>19</v>
      </c>
      <c r="B22" s="2" t="s">
        <v>16</v>
      </c>
      <c r="C22" s="3" t="s">
        <v>53</v>
      </c>
      <c r="D22" s="1" t="s">
        <v>59</v>
      </c>
      <c r="E22" s="1">
        <v>6</v>
      </c>
      <c r="F22" s="26">
        <v>6924030</v>
      </c>
      <c r="G22" s="27">
        <f t="shared" si="0"/>
        <v>37225.967741935485</v>
      </c>
      <c r="H22" s="26">
        <v>605046.46</v>
      </c>
      <c r="I22" s="43">
        <f t="shared" si="1"/>
        <v>3252.9379569892471</v>
      </c>
      <c r="J22" s="29">
        <f t="shared" si="2"/>
        <v>8.7383569972978165E-2</v>
      </c>
      <c r="K22" s="30" t="e">
        <f>(VLOOKUP(C22,$C$4:$J$50,5,0)-VLOOKUP(C22,#REF!,5,0))/VLOOKUP(C22,#REF!,5,0)</f>
        <v>#REF!</v>
      </c>
      <c r="L22" s="48">
        <v>326043</v>
      </c>
      <c r="M22" s="48">
        <f t="shared" si="3"/>
        <v>1752.9193548387098</v>
      </c>
      <c r="N22" s="31">
        <v>0</v>
      </c>
      <c r="O22" s="32">
        <f t="shared" si="4"/>
        <v>3252.9379569892471</v>
      </c>
      <c r="Q22" s="41"/>
    </row>
    <row r="23" spans="1:17" s="1" customFormat="1" ht="15" x14ac:dyDescent="0.2">
      <c r="A23" s="1">
        <v>20</v>
      </c>
      <c r="B23" s="2"/>
      <c r="C23" s="3" t="s">
        <v>50</v>
      </c>
      <c r="D23" s="1" t="s">
        <v>59</v>
      </c>
      <c r="E23" s="1">
        <v>2</v>
      </c>
      <c r="F23" s="26">
        <v>2297356.9</v>
      </c>
      <c r="G23" s="27">
        <f t="shared" si="0"/>
        <v>37054.143548387096</v>
      </c>
      <c r="H23" s="26">
        <v>134908.5</v>
      </c>
      <c r="I23" s="43">
        <f t="shared" si="1"/>
        <v>2175.9435483870966</v>
      </c>
      <c r="J23" s="29">
        <f t="shared" si="2"/>
        <v>5.8723352910468547E-2</v>
      </c>
      <c r="K23" s="30" t="e">
        <f>(VLOOKUP(C23,$C$4:$J$50,5,0)-VLOOKUP(C23,#REF!,5,0))/VLOOKUP(C23,#REF!,5,0)</f>
        <v>#REF!</v>
      </c>
      <c r="L23" s="48">
        <v>510049</v>
      </c>
      <c r="M23" s="48">
        <f t="shared" si="3"/>
        <v>8226.5967741935492</v>
      </c>
      <c r="N23" s="31">
        <f>I23*0.2*1.16</f>
        <v>504.81890322580642</v>
      </c>
      <c r="O23" s="32">
        <f t="shared" si="4"/>
        <v>1671.1246451612901</v>
      </c>
      <c r="Q23" s="41"/>
    </row>
    <row r="24" spans="1:17" s="1" customFormat="1" ht="15" x14ac:dyDescent="0.2">
      <c r="A24" s="1">
        <v>21</v>
      </c>
      <c r="B24" s="2"/>
      <c r="C24" s="3" t="s">
        <v>45</v>
      </c>
      <c r="D24" s="1" t="s">
        <v>35</v>
      </c>
      <c r="E24" s="1">
        <v>4</v>
      </c>
      <c r="F24" s="26">
        <v>4590914.6500000004</v>
      </c>
      <c r="G24" s="27">
        <f t="shared" si="0"/>
        <v>37023.505241935483</v>
      </c>
      <c r="H24" s="26">
        <v>166799.85</v>
      </c>
      <c r="I24" s="43">
        <f t="shared" si="1"/>
        <v>1345.1600806451613</v>
      </c>
      <c r="J24" s="29">
        <f t="shared" si="2"/>
        <v>3.6332596599241943E-2</v>
      </c>
      <c r="K24" s="30" t="e">
        <f>(VLOOKUP(C24,$C$4:$J$50,5,0)-VLOOKUP(C24,#REF!,5,0))/VLOOKUP(C24,#REF!,5,0)</f>
        <v>#REF!</v>
      </c>
      <c r="L24" s="48">
        <v>941419</v>
      </c>
      <c r="M24" s="48">
        <f t="shared" si="3"/>
        <v>7592.0887096774195</v>
      </c>
      <c r="N24" s="31">
        <f>I24*0.2*1.16</f>
        <v>312.07713870967746</v>
      </c>
      <c r="O24" s="32">
        <f t="shared" si="4"/>
        <v>1033.0829419354839</v>
      </c>
      <c r="Q24" s="41"/>
    </row>
    <row r="25" spans="1:17" s="1" customFormat="1" ht="15" x14ac:dyDescent="0.2">
      <c r="A25" s="1">
        <v>22</v>
      </c>
      <c r="B25" s="2"/>
      <c r="C25" s="3" t="s">
        <v>40</v>
      </c>
      <c r="D25" s="1" t="s">
        <v>59</v>
      </c>
      <c r="E25" s="1">
        <v>8</v>
      </c>
      <c r="F25" s="26">
        <v>9157152.5</v>
      </c>
      <c r="G25" s="27">
        <f t="shared" si="0"/>
        <v>36924.00201612903</v>
      </c>
      <c r="H25" s="26">
        <v>390273.51000000007</v>
      </c>
      <c r="I25" s="43">
        <f t="shared" si="1"/>
        <v>1573.6835080645164</v>
      </c>
      <c r="J25" s="29">
        <f t="shared" si="2"/>
        <v>4.2619527194725663E-2</v>
      </c>
      <c r="K25" s="30" t="e">
        <f>(VLOOKUP(C25,$C$4:$J$50,5,0)-VLOOKUP(C25,#REF!,5,0))/VLOOKUP(C25,#REF!,5,0)</f>
        <v>#REF!</v>
      </c>
      <c r="L25" s="48">
        <v>856696</v>
      </c>
      <c r="M25" s="48">
        <f t="shared" si="3"/>
        <v>3454.4193548387098</v>
      </c>
      <c r="N25" s="31">
        <f>((14805.16/16/30)*1.16)*J$2</f>
        <v>617.30460073733332</v>
      </c>
      <c r="O25" s="32">
        <f t="shared" si="4"/>
        <v>956.37890732718313</v>
      </c>
      <c r="Q25" s="41"/>
    </row>
    <row r="26" spans="1:17" s="1" customFormat="1" ht="15" x14ac:dyDescent="0.2">
      <c r="A26" s="1">
        <v>23</v>
      </c>
      <c r="B26" s="2"/>
      <c r="C26" s="3" t="s">
        <v>52</v>
      </c>
      <c r="D26" s="1" t="s">
        <v>59</v>
      </c>
      <c r="E26" s="1">
        <v>7</v>
      </c>
      <c r="F26" s="26">
        <v>7849751.7999999998</v>
      </c>
      <c r="G26" s="27">
        <f t="shared" si="0"/>
        <v>36173.971428571429</v>
      </c>
      <c r="H26" s="26">
        <v>311283.7</v>
      </c>
      <c r="I26" s="43">
        <f t="shared" si="1"/>
        <v>1434.4870967741936</v>
      </c>
      <c r="J26" s="29">
        <f t="shared" si="2"/>
        <v>3.9655228334735372E-2</v>
      </c>
      <c r="K26" s="30" t="e">
        <f>(VLOOKUP(C26,$C$4:$J$50,5,0)-VLOOKUP(C26,#REF!,5,0))/VLOOKUP(C26,#REF!,5,0)</f>
        <v>#REF!</v>
      </c>
      <c r="L26" s="48">
        <v>2221872</v>
      </c>
      <c r="M26" s="48">
        <f t="shared" si="3"/>
        <v>10239.041474654379</v>
      </c>
      <c r="N26" s="31">
        <v>0</v>
      </c>
      <c r="O26" s="32">
        <f t="shared" si="4"/>
        <v>1434.4870967741936</v>
      </c>
      <c r="Q26" s="41"/>
    </row>
    <row r="27" spans="1:17" s="1" customFormat="1" ht="15" x14ac:dyDescent="0.2">
      <c r="A27" s="1">
        <v>24</v>
      </c>
      <c r="B27" s="2"/>
      <c r="C27" s="3" t="s">
        <v>47</v>
      </c>
      <c r="D27" s="1" t="s">
        <v>59</v>
      </c>
      <c r="E27" s="1">
        <v>4</v>
      </c>
      <c r="F27" s="26">
        <v>4480798</v>
      </c>
      <c r="G27" s="27">
        <f t="shared" si="0"/>
        <v>36135.467741935485</v>
      </c>
      <c r="H27" s="26">
        <v>119697.45000000001</v>
      </c>
      <c r="I27" s="43">
        <f t="shared" si="1"/>
        <v>965.30201612903238</v>
      </c>
      <c r="J27" s="29">
        <f t="shared" si="2"/>
        <v>2.6713422475193038E-2</v>
      </c>
      <c r="K27" s="30" t="e">
        <f>(VLOOKUP(C27,$C$4:$J$50,5,0)-VLOOKUP(C27,#REF!,5,0))/VLOOKUP(C27,#REF!,5,0)</f>
        <v>#REF!</v>
      </c>
      <c r="L27" s="48">
        <v>952678</v>
      </c>
      <c r="M27" s="48">
        <f t="shared" si="3"/>
        <v>7682.8870967741932</v>
      </c>
      <c r="N27" s="31">
        <v>0</v>
      </c>
      <c r="O27" s="32">
        <f t="shared" si="4"/>
        <v>965.30201612903238</v>
      </c>
      <c r="Q27" s="41"/>
    </row>
    <row r="28" spans="1:17" s="1" customFormat="1" ht="15" x14ac:dyDescent="0.2">
      <c r="A28" s="1">
        <v>25</v>
      </c>
      <c r="B28" s="2"/>
      <c r="C28" s="3" t="s">
        <v>28</v>
      </c>
      <c r="D28" s="1" t="s">
        <v>35</v>
      </c>
      <c r="E28" s="1">
        <v>6</v>
      </c>
      <c r="F28" s="26">
        <v>5938162.4000000004</v>
      </c>
      <c r="G28" s="27">
        <f t="shared" si="0"/>
        <v>31925.604301075269</v>
      </c>
      <c r="H28" s="26">
        <v>406978.1</v>
      </c>
      <c r="I28" s="43">
        <f t="shared" si="1"/>
        <v>2188.054301075269</v>
      </c>
      <c r="J28" s="29">
        <f t="shared" si="2"/>
        <v>6.8536033975763286E-2</v>
      </c>
      <c r="K28" s="30" t="e">
        <f>(VLOOKUP(C28,$C$4:$J$50,5,0)-VLOOKUP(C28,#REF!,5,0))/VLOOKUP(C28,#REF!,5,0)</f>
        <v>#REF!</v>
      </c>
      <c r="L28" s="48">
        <v>634392</v>
      </c>
      <c r="M28" s="48">
        <f t="shared" si="3"/>
        <v>3410.7096774193546</v>
      </c>
      <c r="N28" s="31">
        <v>0</v>
      </c>
      <c r="O28" s="32">
        <f t="shared" si="4"/>
        <v>2188.054301075269</v>
      </c>
      <c r="Q28" s="41"/>
    </row>
    <row r="29" spans="1:17" s="1" customFormat="1" ht="15" x14ac:dyDescent="0.2">
      <c r="A29" s="1">
        <v>26</v>
      </c>
      <c r="B29" s="2"/>
      <c r="C29" s="3" t="s">
        <v>60</v>
      </c>
      <c r="D29" s="1" t="s">
        <v>35</v>
      </c>
      <c r="E29" s="1">
        <v>3</v>
      </c>
      <c r="F29" s="26">
        <v>2663082.83</v>
      </c>
      <c r="G29" s="27">
        <f t="shared" si="0"/>
        <v>28635.299247311828</v>
      </c>
      <c r="H29" s="26">
        <v>117506.63</v>
      </c>
      <c r="I29" s="43">
        <f t="shared" si="1"/>
        <v>1263.5121505376346</v>
      </c>
      <c r="J29" s="29">
        <f t="shared" si="2"/>
        <v>4.4124286588562482E-2</v>
      </c>
      <c r="K29" s="30" t="e">
        <f>(VLOOKUP(C29,$C$4:$J$50,5,0)-VLOOKUP(C29,#REF!,5,0))/VLOOKUP(C29,#REF!,5,0)</f>
        <v>#REF!</v>
      </c>
      <c r="L29" s="48">
        <v>505504</v>
      </c>
      <c r="M29" s="48">
        <f t="shared" si="3"/>
        <v>5435.5268817204305</v>
      </c>
      <c r="N29" s="31">
        <v>0</v>
      </c>
      <c r="O29" s="32">
        <f t="shared" si="4"/>
        <v>1263.5121505376346</v>
      </c>
      <c r="Q29" s="41"/>
    </row>
    <row r="30" spans="1:17" s="1" customFormat="1" ht="15" x14ac:dyDescent="0.2">
      <c r="A30" s="1">
        <v>27</v>
      </c>
      <c r="B30" s="2" t="s">
        <v>16</v>
      </c>
      <c r="C30" s="3" t="s">
        <v>58</v>
      </c>
      <c r="D30" s="1" t="s">
        <v>59</v>
      </c>
      <c r="E30" s="1">
        <v>6</v>
      </c>
      <c r="F30" s="26">
        <v>4835969.5999999996</v>
      </c>
      <c r="G30" s="27">
        <f t="shared" si="0"/>
        <v>25999.836559139781</v>
      </c>
      <c r="H30" s="26">
        <v>226920.18</v>
      </c>
      <c r="I30" s="43">
        <f t="shared" si="1"/>
        <v>1220.0009677419355</v>
      </c>
      <c r="J30" s="29">
        <f t="shared" si="2"/>
        <v>4.6923409113241742E-2</v>
      </c>
      <c r="K30" s="30" t="e">
        <f>(VLOOKUP(C30,$C$4:$J$50,5,0)-VLOOKUP(C30,#REF!,5,0))/VLOOKUP(C30,#REF!,5,0)</f>
        <v>#REF!</v>
      </c>
      <c r="L30" s="48">
        <v>353599</v>
      </c>
      <c r="M30" s="48">
        <f t="shared" si="3"/>
        <v>1901.0698924731182</v>
      </c>
      <c r="N30" s="31">
        <f>I30*0.18</f>
        <v>219.60017419354838</v>
      </c>
      <c r="O30" s="32">
        <f t="shared" si="4"/>
        <v>1000.4007935483871</v>
      </c>
      <c r="Q30" s="41"/>
    </row>
    <row r="31" spans="1:17" s="1" customFormat="1" ht="15" x14ac:dyDescent="0.2">
      <c r="A31" s="1">
        <v>28</v>
      </c>
      <c r="B31" s="2"/>
      <c r="C31" s="3" t="s">
        <v>29</v>
      </c>
      <c r="D31" s="1" t="s">
        <v>35</v>
      </c>
      <c r="E31" s="1">
        <v>6</v>
      </c>
      <c r="F31" s="26">
        <v>4692864</v>
      </c>
      <c r="G31" s="27">
        <f t="shared" si="0"/>
        <v>25230.451612903227</v>
      </c>
      <c r="H31" s="26">
        <v>225661.7</v>
      </c>
      <c r="I31" s="43">
        <f t="shared" si="1"/>
        <v>1213.2349462365592</v>
      </c>
      <c r="J31" s="29">
        <f t="shared" si="2"/>
        <v>4.8086136738673867E-2</v>
      </c>
      <c r="K31" s="30" t="e">
        <f>(VLOOKUP(C31,$C$4:$J$50,5,0)-VLOOKUP(C31,#REF!,5,0))/VLOOKUP(C31,#REF!,5,0)</f>
        <v>#REF!</v>
      </c>
      <c r="L31" s="48">
        <v>650276</v>
      </c>
      <c r="M31" s="48">
        <f t="shared" si="3"/>
        <v>3496.1075268817203</v>
      </c>
      <c r="N31" s="31">
        <v>0</v>
      </c>
      <c r="O31" s="32">
        <f t="shared" si="4"/>
        <v>1213.2349462365592</v>
      </c>
      <c r="Q31" s="41"/>
    </row>
    <row r="32" spans="1:17" s="1" customFormat="1" ht="15" x14ac:dyDescent="0.2">
      <c r="A32" s="1">
        <v>29</v>
      </c>
      <c r="B32" s="2"/>
      <c r="C32" s="3" t="s">
        <v>30</v>
      </c>
      <c r="D32" s="1" t="s">
        <v>35</v>
      </c>
      <c r="E32" s="1">
        <v>3</v>
      </c>
      <c r="F32" s="26">
        <v>2305350.65</v>
      </c>
      <c r="G32" s="27">
        <f t="shared" si="0"/>
        <v>24788.716666666667</v>
      </c>
      <c r="H32" s="26">
        <v>262272.20999999996</v>
      </c>
      <c r="I32" s="43">
        <f t="shared" si="1"/>
        <v>2820.1312903225803</v>
      </c>
      <c r="J32" s="29">
        <f t="shared" si="2"/>
        <v>0.11376673218887545</v>
      </c>
      <c r="K32" s="30" t="e">
        <f>(VLOOKUP(C32,$C$4:$J$50,5,0)-VLOOKUP(C32,#REF!,5,0))/VLOOKUP(C32,#REF!,5,0)</f>
        <v>#REF!</v>
      </c>
      <c r="L32" s="48">
        <v>119949</v>
      </c>
      <c r="M32" s="48">
        <f t="shared" si="3"/>
        <v>1289.7741935483871</v>
      </c>
      <c r="N32" s="31">
        <v>0</v>
      </c>
      <c r="O32" s="32">
        <f t="shared" si="4"/>
        <v>2820.1312903225803</v>
      </c>
      <c r="Q32" s="41"/>
    </row>
    <row r="33" spans="1:17" s="1" customFormat="1" ht="15" x14ac:dyDescent="0.2">
      <c r="A33" s="1">
        <v>30</v>
      </c>
      <c r="B33" s="2"/>
      <c r="C33" s="3" t="s">
        <v>22</v>
      </c>
      <c r="D33" s="1" t="s">
        <v>35</v>
      </c>
      <c r="E33" s="1">
        <v>5</v>
      </c>
      <c r="F33" s="26">
        <v>3818958.5999999996</v>
      </c>
      <c r="G33" s="27">
        <f t="shared" si="0"/>
        <v>24638.442580645162</v>
      </c>
      <c r="H33" s="26">
        <v>244899.32</v>
      </c>
      <c r="I33" s="43">
        <f t="shared" si="1"/>
        <v>1579.9956129032259</v>
      </c>
      <c r="J33" s="29">
        <f t="shared" si="2"/>
        <v>6.4127251863898185E-2</v>
      </c>
      <c r="K33" s="30" t="e">
        <f>(VLOOKUP(C33,$C$4:$J$50,5,0)-VLOOKUP(C33,#REF!,5,0))/VLOOKUP(C33,#REF!,5,0)</f>
        <v>#REF!</v>
      </c>
      <c r="L33" s="48">
        <v>290755</v>
      </c>
      <c r="M33" s="48">
        <f t="shared" si="3"/>
        <v>1875.8387096774193</v>
      </c>
      <c r="N33" s="31">
        <v>0</v>
      </c>
      <c r="O33" s="32">
        <f t="shared" si="4"/>
        <v>1579.9956129032259</v>
      </c>
      <c r="Q33" s="41"/>
    </row>
    <row r="34" spans="1:17" s="1" customFormat="1" ht="15" x14ac:dyDescent="0.2">
      <c r="A34" s="1">
        <v>31</v>
      </c>
      <c r="B34" s="2"/>
      <c r="C34" s="3" t="s">
        <v>49</v>
      </c>
      <c r="D34" s="1" t="s">
        <v>59</v>
      </c>
      <c r="E34" s="1">
        <v>6</v>
      </c>
      <c r="F34" s="26">
        <v>4076902.5</v>
      </c>
      <c r="G34" s="27">
        <f t="shared" si="0"/>
        <v>21918.830645161292</v>
      </c>
      <c r="H34" s="26">
        <v>334585.15000000002</v>
      </c>
      <c r="I34" s="43">
        <f t="shared" si="1"/>
        <v>1798.8448924731185</v>
      </c>
      <c r="J34" s="29">
        <f t="shared" si="2"/>
        <v>8.2068469873880973E-2</v>
      </c>
      <c r="K34" s="30" t="e">
        <f>(VLOOKUP(C34,$C$4:$J$50,5,0)-VLOOKUP(C34,#REF!,5,0))/VLOOKUP(C34,#REF!,5,0)</f>
        <v>#REF!</v>
      </c>
      <c r="L34" s="48">
        <v>473595</v>
      </c>
      <c r="M34" s="48">
        <f t="shared" si="3"/>
        <v>2546.2096774193546</v>
      </c>
      <c r="N34" s="31">
        <f>(4288.47*J$2)/6/H$2</f>
        <v>397.79478819354841</v>
      </c>
      <c r="O34" s="32">
        <f t="shared" si="4"/>
        <v>1401.0501042795702</v>
      </c>
      <c r="Q34" s="41"/>
    </row>
    <row r="35" spans="1:17" s="1" customFormat="1" ht="15" x14ac:dyDescent="0.2">
      <c r="A35" s="1">
        <v>32</v>
      </c>
      <c r="B35" s="2"/>
      <c r="C35" s="3" t="s">
        <v>54</v>
      </c>
      <c r="D35" s="1" t="s">
        <v>35</v>
      </c>
      <c r="E35" s="1">
        <v>6</v>
      </c>
      <c r="F35" s="26">
        <v>3912534.5</v>
      </c>
      <c r="G35" s="27">
        <f t="shared" si="0"/>
        <v>21035.131720430109</v>
      </c>
      <c r="H35" s="26">
        <v>122659.1</v>
      </c>
      <c r="I35" s="43">
        <f t="shared" si="1"/>
        <v>659.45752688172047</v>
      </c>
      <c r="J35" s="29">
        <f t="shared" si="2"/>
        <v>3.1350292246624278E-2</v>
      </c>
      <c r="K35" s="30" t="e">
        <f>(VLOOKUP(C35,$C$4:$J$50,5,0)-VLOOKUP(C35,#REF!,5,0))/VLOOKUP(C35,#REF!,5,0)</f>
        <v>#REF!</v>
      </c>
      <c r="L35" s="48">
        <v>1189840</v>
      </c>
      <c r="M35" s="48">
        <f t="shared" si="3"/>
        <v>6396.989247311828</v>
      </c>
      <c r="N35" s="31">
        <v>0</v>
      </c>
      <c r="O35" s="32">
        <f t="shared" si="4"/>
        <v>659.45752688172047</v>
      </c>
      <c r="Q35" s="41"/>
    </row>
    <row r="36" spans="1:17" s="1" customFormat="1" ht="15" x14ac:dyDescent="0.2">
      <c r="A36" s="1">
        <v>33</v>
      </c>
      <c r="B36" s="2"/>
      <c r="C36" s="3" t="s">
        <v>51</v>
      </c>
      <c r="D36" s="1" t="s">
        <v>59</v>
      </c>
      <c r="E36" s="1">
        <v>6</v>
      </c>
      <c r="F36" s="26">
        <v>3831164.5</v>
      </c>
      <c r="G36" s="27">
        <f t="shared" si="0"/>
        <v>20597.658602150535</v>
      </c>
      <c r="H36" s="26">
        <v>175706.4</v>
      </c>
      <c r="I36" s="43">
        <f t="shared" si="1"/>
        <v>944.658064516129</v>
      </c>
      <c r="J36" s="29">
        <f t="shared" si="2"/>
        <v>4.58624003224085E-2</v>
      </c>
      <c r="K36" s="30" t="e">
        <f>(VLOOKUP(C36,$C$4:$J$50,5,0)-VLOOKUP(C36,#REF!,5,0))/VLOOKUP(C36,#REF!,5,0)</f>
        <v>#REF!</v>
      </c>
      <c r="L36" s="48">
        <v>1319371</v>
      </c>
      <c r="M36" s="48">
        <f t="shared" si="3"/>
        <v>7093.3924731182797</v>
      </c>
      <c r="N36" s="33">
        <v>0</v>
      </c>
      <c r="O36" s="32">
        <f t="shared" si="4"/>
        <v>944.658064516129</v>
      </c>
      <c r="Q36" s="41"/>
    </row>
    <row r="37" spans="1:17" s="1" customFormat="1" ht="15" x14ac:dyDescent="0.2">
      <c r="A37" s="1">
        <v>34</v>
      </c>
      <c r="B37" s="2"/>
      <c r="C37" s="3" t="s">
        <v>31</v>
      </c>
      <c r="D37" s="1" t="s">
        <v>59</v>
      </c>
      <c r="E37" s="1">
        <v>5</v>
      </c>
      <c r="F37" s="26">
        <v>2951760</v>
      </c>
      <c r="G37" s="27">
        <f t="shared" si="0"/>
        <v>19043.612903225807</v>
      </c>
      <c r="H37" s="26">
        <v>230605.65</v>
      </c>
      <c r="I37" s="43">
        <f t="shared" si="1"/>
        <v>1487.7783870967742</v>
      </c>
      <c r="J37" s="29">
        <f t="shared" si="2"/>
        <v>7.8124796731441584E-2</v>
      </c>
      <c r="K37" s="30" t="e">
        <f>(VLOOKUP(C37,$C$4:$J$50,5,0)-VLOOKUP(C37,#REF!,5,0))/VLOOKUP(C37,#REF!,5,0)</f>
        <v>#REF!</v>
      </c>
      <c r="L37" s="48">
        <v>533254</v>
      </c>
      <c r="M37" s="48">
        <f t="shared" si="3"/>
        <v>3440.3483870967743</v>
      </c>
      <c r="N37" s="31">
        <v>0</v>
      </c>
      <c r="O37" s="32">
        <f t="shared" si="4"/>
        <v>1487.7783870967742</v>
      </c>
      <c r="Q37" s="41"/>
    </row>
    <row r="38" spans="1:17" s="1" customFormat="1" ht="15" x14ac:dyDescent="0.2">
      <c r="A38" s="1">
        <v>35</v>
      </c>
      <c r="B38" s="2"/>
      <c r="C38" s="3" t="s">
        <v>60</v>
      </c>
      <c r="D38" s="1" t="s">
        <v>59</v>
      </c>
      <c r="E38" s="1">
        <v>3</v>
      </c>
      <c r="F38" s="26">
        <v>1763078.6</v>
      </c>
      <c r="G38" s="27">
        <f t="shared" si="0"/>
        <v>18957.83440860215</v>
      </c>
      <c r="H38" s="26">
        <v>134374.15</v>
      </c>
      <c r="I38" s="43">
        <f t="shared" si="1"/>
        <v>1444.8833333333332</v>
      </c>
      <c r="J38" s="29">
        <f t="shared" si="2"/>
        <v>7.6215632133473793E-2</v>
      </c>
      <c r="K38" s="30" t="e">
        <f>(VLOOKUP(C38,$C$4:$J$50,5,0)-VLOOKUP(C38,#REF!,5,0))/VLOOKUP(C38,#REF!,5,0)</f>
        <v>#REF!</v>
      </c>
      <c r="L38" s="48">
        <v>270585</v>
      </c>
      <c r="M38" s="48">
        <f t="shared" si="3"/>
        <v>2909.516129032258</v>
      </c>
      <c r="N38" s="31">
        <f>I38*0.2*1.16</f>
        <v>335.2129333333333</v>
      </c>
      <c r="O38" s="32">
        <f t="shared" si="4"/>
        <v>1109.6704</v>
      </c>
      <c r="Q38" s="41"/>
    </row>
    <row r="39" spans="1:17" s="1" customFormat="1" ht="15" x14ac:dyDescent="0.2">
      <c r="A39" s="1">
        <v>36</v>
      </c>
      <c r="B39" s="2"/>
      <c r="C39" s="3" t="s">
        <v>30</v>
      </c>
      <c r="D39" s="1" t="s">
        <v>59</v>
      </c>
      <c r="E39" s="1">
        <v>11</v>
      </c>
      <c r="F39" s="26">
        <v>6443914.3500000006</v>
      </c>
      <c r="G39" s="27">
        <f t="shared" si="0"/>
        <v>18897.109530791789</v>
      </c>
      <c r="H39" s="26">
        <v>282171.62</v>
      </c>
      <c r="I39" s="43">
        <f t="shared" si="1"/>
        <v>827.48275659824048</v>
      </c>
      <c r="J39" s="29">
        <f t="shared" si="2"/>
        <v>4.3788853276735436E-2</v>
      </c>
      <c r="K39" s="30" t="e">
        <f>(VLOOKUP(C39,$C$4:$J$50,5,0)-VLOOKUP(C39,#REF!,5,0))/VLOOKUP(C39,#REF!,5,0)</f>
        <v>#REF!</v>
      </c>
      <c r="L39" s="48">
        <v>292772</v>
      </c>
      <c r="M39" s="48">
        <f t="shared" si="3"/>
        <v>858.56891495601178</v>
      </c>
      <c r="N39" s="31">
        <v>0</v>
      </c>
      <c r="O39" s="32">
        <f t="shared" si="4"/>
        <v>827.48275659824048</v>
      </c>
      <c r="Q39" s="41"/>
    </row>
    <row r="40" spans="1:17" s="1" customFormat="1" ht="15" x14ac:dyDescent="0.2">
      <c r="A40" s="1">
        <v>37</v>
      </c>
      <c r="B40" s="2"/>
      <c r="C40" s="3" t="s">
        <v>24</v>
      </c>
      <c r="D40" s="1" t="s">
        <v>35</v>
      </c>
      <c r="E40" s="1">
        <v>1</v>
      </c>
      <c r="F40" s="26">
        <v>569899.30000000005</v>
      </c>
      <c r="G40" s="27">
        <f t="shared" si="0"/>
        <v>18383.848387096776</v>
      </c>
      <c r="H40" s="26">
        <v>48178.35</v>
      </c>
      <c r="I40" s="43">
        <f t="shared" si="1"/>
        <v>1554.140322580645</v>
      </c>
      <c r="J40" s="29">
        <f t="shared" si="2"/>
        <v>8.4538356162220218E-2</v>
      </c>
      <c r="K40" s="30" t="e">
        <f>(VLOOKUP(C40,$C$4:$J$50,5,0)-VLOOKUP(C40,#REF!,5,0))/VLOOKUP(C40,#REF!,5,0)</f>
        <v>#REF!</v>
      </c>
      <c r="L40" s="48">
        <v>115693</v>
      </c>
      <c r="M40" s="48">
        <f t="shared" si="3"/>
        <v>3732.0322580645161</v>
      </c>
      <c r="N40" s="31">
        <v>0</v>
      </c>
      <c r="O40" s="32">
        <f t="shared" si="4"/>
        <v>1554.140322580645</v>
      </c>
      <c r="Q40" s="41"/>
    </row>
    <row r="41" spans="1:17" s="1" customFormat="1" ht="15" x14ac:dyDescent="0.2">
      <c r="A41" s="1">
        <v>38</v>
      </c>
      <c r="B41" s="2"/>
      <c r="C41" s="3" t="s">
        <v>19</v>
      </c>
      <c r="D41" s="1" t="s">
        <v>59</v>
      </c>
      <c r="E41" s="1">
        <v>5</v>
      </c>
      <c r="F41" s="26">
        <v>2846340</v>
      </c>
      <c r="G41" s="27">
        <f t="shared" si="0"/>
        <v>18363.483870967742</v>
      </c>
      <c r="H41" s="26">
        <v>586889.02</v>
      </c>
      <c r="I41" s="43">
        <f t="shared" si="1"/>
        <v>3786.3807741935484</v>
      </c>
      <c r="J41" s="29">
        <f t="shared" si="2"/>
        <v>0.2061907642797417</v>
      </c>
      <c r="K41" s="30" t="e">
        <f>(VLOOKUP(C41,$C$4:$J$50,5,0)-VLOOKUP(C41,#REF!,5,0))/VLOOKUP(C41,#REF!,5,0)</f>
        <v>#REF!</v>
      </c>
      <c r="L41" s="48">
        <v>32771</v>
      </c>
      <c r="M41" s="48">
        <f t="shared" si="3"/>
        <v>211.42580645161289</v>
      </c>
      <c r="N41" s="31">
        <v>0</v>
      </c>
      <c r="O41" s="32">
        <f t="shared" si="4"/>
        <v>3786.3807741935484</v>
      </c>
      <c r="Q41" s="41"/>
    </row>
    <row r="42" spans="1:17" s="1" customFormat="1" ht="15" x14ac:dyDescent="0.2">
      <c r="A42" s="1">
        <v>39</v>
      </c>
      <c r="B42" s="2"/>
      <c r="C42" s="3" t="s">
        <v>67</v>
      </c>
      <c r="D42" s="1" t="s">
        <v>59</v>
      </c>
      <c r="E42" s="1">
        <v>2</v>
      </c>
      <c r="F42" s="26">
        <v>1097771.25</v>
      </c>
      <c r="G42" s="27">
        <f t="shared" si="0"/>
        <v>17705.987903225807</v>
      </c>
      <c r="H42" s="26">
        <v>58706</v>
      </c>
      <c r="I42" s="43">
        <f t="shared" si="1"/>
        <v>946.87096774193549</v>
      </c>
      <c r="J42" s="29">
        <f t="shared" si="2"/>
        <v>5.3477443502004632E-2</v>
      </c>
      <c r="K42" s="30" t="e">
        <f>(VLOOKUP(C42,$C$4:$J$50,5,0)-VLOOKUP(C42,#REF!,5,0))/VLOOKUP(C42,#REF!,5,0)</f>
        <v>#REF!</v>
      </c>
      <c r="L42" s="48">
        <v>145920</v>
      </c>
      <c r="M42" s="48">
        <f t="shared" si="3"/>
        <v>2353.5483870967741</v>
      </c>
      <c r="N42" s="31">
        <v>0</v>
      </c>
      <c r="O42" s="32">
        <f t="shared" si="4"/>
        <v>946.87096774193549</v>
      </c>
      <c r="Q42" s="41"/>
    </row>
    <row r="43" spans="1:17" s="1" customFormat="1" ht="15" x14ac:dyDescent="0.2">
      <c r="A43" s="1">
        <v>40</v>
      </c>
      <c r="B43" s="2"/>
      <c r="C43" s="3" t="s">
        <v>66</v>
      </c>
      <c r="D43" s="1" t="s">
        <v>59</v>
      </c>
      <c r="E43" s="1">
        <v>2</v>
      </c>
      <c r="F43" s="26">
        <v>1071818.75</v>
      </c>
      <c r="G43" s="27">
        <f t="shared" si="0"/>
        <v>17287.399193548386</v>
      </c>
      <c r="H43" s="26">
        <v>54144.95</v>
      </c>
      <c r="I43" s="43">
        <f t="shared" si="1"/>
        <v>873.30564516129027</v>
      </c>
      <c r="J43" s="29">
        <f t="shared" si="2"/>
        <v>5.0516890099188881E-2</v>
      </c>
      <c r="K43" s="30" t="e">
        <f>(VLOOKUP(C43,$C$4:$J$50,5,0)-VLOOKUP(C43,#REF!,5,0))/VLOOKUP(C43,#REF!,5,0)</f>
        <v>#REF!</v>
      </c>
      <c r="L43" s="48">
        <v>141805</v>
      </c>
      <c r="M43" s="48">
        <f t="shared" si="3"/>
        <v>2287.1774193548385</v>
      </c>
      <c r="N43" s="31">
        <v>0</v>
      </c>
      <c r="O43" s="32">
        <f t="shared" si="4"/>
        <v>873.30564516129027</v>
      </c>
      <c r="Q43" s="41"/>
    </row>
    <row r="44" spans="1:17" s="1" customFormat="1" ht="15" x14ac:dyDescent="0.2">
      <c r="A44" s="1">
        <v>41</v>
      </c>
      <c r="B44" s="2" t="s">
        <v>16</v>
      </c>
      <c r="C44" s="3" t="s">
        <v>36</v>
      </c>
      <c r="D44" s="1" t="s">
        <v>59</v>
      </c>
      <c r="E44" s="1">
        <v>4</v>
      </c>
      <c r="F44" s="26">
        <v>1869807</v>
      </c>
      <c r="G44" s="27">
        <f t="shared" si="0"/>
        <v>15079.088709677419</v>
      </c>
      <c r="H44" s="26">
        <v>40403</v>
      </c>
      <c r="I44" s="43">
        <f t="shared" si="1"/>
        <v>325.83064516129031</v>
      </c>
      <c r="J44" s="29">
        <f t="shared" si="2"/>
        <v>2.1608112495032909E-2</v>
      </c>
      <c r="K44" s="30" t="e">
        <f>(VLOOKUP(C44,$C$4:$J$50,5,0)-VLOOKUP(C44,#REF!,5,0))/VLOOKUP(C44,#REF!,5,0)</f>
        <v>#REF!</v>
      </c>
      <c r="L44" s="48">
        <v>68697</v>
      </c>
      <c r="M44" s="48">
        <f t="shared" si="3"/>
        <v>554.00806451612902</v>
      </c>
      <c r="N44" s="31">
        <f>I44*0.18</f>
        <v>58.64951612903225</v>
      </c>
      <c r="O44" s="32">
        <f t="shared" si="4"/>
        <v>267.18112903225807</v>
      </c>
      <c r="Q44" s="41"/>
    </row>
    <row r="45" spans="1:17" s="1" customFormat="1" ht="15" x14ac:dyDescent="0.2">
      <c r="A45" s="1">
        <v>42</v>
      </c>
      <c r="B45" s="2"/>
      <c r="C45" s="3" t="s">
        <v>65</v>
      </c>
      <c r="D45" s="1" t="s">
        <v>59</v>
      </c>
      <c r="E45" s="1">
        <v>4</v>
      </c>
      <c r="F45" s="26">
        <v>1499343.75</v>
      </c>
      <c r="G45" s="27">
        <f t="shared" si="0"/>
        <v>12091.48185483871</v>
      </c>
      <c r="H45" s="26">
        <v>110664.40000000001</v>
      </c>
      <c r="I45" s="43">
        <f t="shared" si="1"/>
        <v>892.45483870967746</v>
      </c>
      <c r="J45" s="29">
        <f t="shared" si="2"/>
        <v>7.3808557910752623E-2</v>
      </c>
      <c r="K45" s="30" t="e">
        <f>(VLOOKUP(C45,$C$4:$J$50,5,0)-VLOOKUP(C45,#REF!,5,0))/VLOOKUP(C45,#REF!,5,0)</f>
        <v>#REF!</v>
      </c>
      <c r="L45" s="48">
        <v>165128</v>
      </c>
      <c r="M45" s="48">
        <f t="shared" si="3"/>
        <v>1331.6774193548388</v>
      </c>
      <c r="N45" s="31">
        <v>0</v>
      </c>
      <c r="O45" s="32">
        <f t="shared" si="4"/>
        <v>892.45483870967746</v>
      </c>
      <c r="Q45" s="41"/>
    </row>
    <row r="46" spans="1:17" s="1" customFormat="1" ht="15" x14ac:dyDescent="0.2">
      <c r="A46" s="1">
        <v>43</v>
      </c>
      <c r="B46" s="2"/>
      <c r="C46" s="3" t="s">
        <v>55</v>
      </c>
      <c r="D46" s="1" t="s">
        <v>59</v>
      </c>
      <c r="E46" s="1">
        <v>4</v>
      </c>
      <c r="F46" s="26">
        <v>1274147.4999999998</v>
      </c>
      <c r="G46" s="27">
        <f t="shared" si="0"/>
        <v>10275.383064516127</v>
      </c>
      <c r="H46" s="26">
        <v>126828.4</v>
      </c>
      <c r="I46" s="43">
        <f t="shared" si="1"/>
        <v>1022.8096774193548</v>
      </c>
      <c r="J46" s="29">
        <f t="shared" si="2"/>
        <v>9.9539809951359651E-2</v>
      </c>
      <c r="K46" s="30" t="e">
        <f>(VLOOKUP(C46,$C$4:$J$50,5,0)-VLOOKUP(C46,#REF!,5,0))/VLOOKUP(C46,#REF!,5,0)</f>
        <v>#REF!</v>
      </c>
      <c r="L46" s="48">
        <v>489523</v>
      </c>
      <c r="M46" s="48">
        <f t="shared" si="3"/>
        <v>3947.766129032258</v>
      </c>
      <c r="N46" s="34">
        <v>0</v>
      </c>
      <c r="O46" s="32">
        <f t="shared" si="4"/>
        <v>1022.8096774193548</v>
      </c>
      <c r="Q46" s="41"/>
    </row>
    <row r="47" spans="1:17" s="1" customFormat="1" ht="15" x14ac:dyDescent="0.2">
      <c r="A47" s="1">
        <v>44</v>
      </c>
      <c r="B47" s="2" t="s">
        <v>16</v>
      </c>
      <c r="C47" s="3" t="s">
        <v>62</v>
      </c>
      <c r="D47" s="1" t="s">
        <v>59</v>
      </c>
      <c r="E47" s="1">
        <v>4</v>
      </c>
      <c r="F47" s="26">
        <v>1086249</v>
      </c>
      <c r="G47" s="27">
        <f t="shared" si="0"/>
        <v>8760.072580645161</v>
      </c>
      <c r="H47" s="26">
        <v>18998.5</v>
      </c>
      <c r="I47" s="43">
        <f t="shared" si="1"/>
        <v>153.21370967741936</v>
      </c>
      <c r="J47" s="29">
        <f t="shared" si="2"/>
        <v>1.7490004593790191E-2</v>
      </c>
      <c r="K47" s="30" t="e">
        <f>(VLOOKUP(C47,$C$4:$J$50,5,0)-VLOOKUP(C47,#REF!,5,0))/VLOOKUP(C47,#REF!,5,0)</f>
        <v>#REF!</v>
      </c>
      <c r="L47" s="48">
        <v>75100</v>
      </c>
      <c r="M47" s="48">
        <f t="shared" si="3"/>
        <v>605.64516129032256</v>
      </c>
      <c r="N47" s="31">
        <f>I47*0.18</f>
        <v>27.578467741935484</v>
      </c>
      <c r="O47" s="32">
        <f t="shared" si="4"/>
        <v>125.63524193548388</v>
      </c>
      <c r="Q47" s="41"/>
    </row>
    <row r="48" spans="1:17" s="1" customFormat="1" ht="15" x14ac:dyDescent="0.2">
      <c r="A48" s="1">
        <v>45</v>
      </c>
      <c r="B48" s="2"/>
      <c r="C48" s="3" t="s">
        <v>33</v>
      </c>
      <c r="D48" s="1" t="s">
        <v>35</v>
      </c>
      <c r="E48" s="1">
        <v>6</v>
      </c>
      <c r="F48" s="26">
        <v>1496469.58</v>
      </c>
      <c r="G48" s="27">
        <f t="shared" si="0"/>
        <v>8045.5353763440862</v>
      </c>
      <c r="H48" s="26">
        <v>58831.82</v>
      </c>
      <c r="I48" s="43">
        <f t="shared" si="1"/>
        <v>316.30010752688173</v>
      </c>
      <c r="J48" s="29">
        <f t="shared" si="2"/>
        <v>3.9313742682293616E-2</v>
      </c>
      <c r="K48" s="30" t="e">
        <f>(VLOOKUP(C48,$C$4:$J$50,5,0)-VLOOKUP(C48,#REF!,5,0))/VLOOKUP(C48,#REF!,5,0)</f>
        <v>#REF!</v>
      </c>
      <c r="L48" s="48">
        <v>416807</v>
      </c>
      <c r="M48" s="48">
        <f t="shared" si="3"/>
        <v>2240.8978494623652</v>
      </c>
      <c r="N48" s="31">
        <v>0</v>
      </c>
      <c r="O48" s="32">
        <f t="shared" si="4"/>
        <v>316.30010752688173</v>
      </c>
      <c r="Q48" s="41"/>
    </row>
    <row r="49" spans="1:17" s="1" customFormat="1" ht="15" x14ac:dyDescent="0.2">
      <c r="A49" s="1">
        <v>46</v>
      </c>
      <c r="B49" s="2"/>
      <c r="C49" s="3" t="s">
        <v>55</v>
      </c>
      <c r="D49" s="1" t="s">
        <v>35</v>
      </c>
      <c r="E49" s="1">
        <v>4</v>
      </c>
      <c r="F49" s="26">
        <v>742392.2</v>
      </c>
      <c r="G49" s="27">
        <f t="shared" si="0"/>
        <v>5987.0338709677417</v>
      </c>
      <c r="H49" s="26">
        <v>88895.5</v>
      </c>
      <c r="I49" s="43">
        <f t="shared" si="1"/>
        <v>716.89919354838707</v>
      </c>
      <c r="J49" s="29">
        <f t="shared" si="2"/>
        <v>0.11974196388378003</v>
      </c>
      <c r="K49" s="30" t="e">
        <f>(VLOOKUP(C49,$C$4:$J$50,5,0)-VLOOKUP(C49,#REF!,5,0))/VLOOKUP(C49,#REF!,5,0)</f>
        <v>#REF!</v>
      </c>
      <c r="L49" s="48">
        <v>233287</v>
      </c>
      <c r="M49" s="48">
        <f t="shared" si="3"/>
        <v>1881.3467741935483</v>
      </c>
      <c r="N49" s="31">
        <v>0</v>
      </c>
      <c r="O49" s="32">
        <f t="shared" si="4"/>
        <v>716.89919354838707</v>
      </c>
      <c r="Q49" s="41"/>
    </row>
    <row r="50" spans="1:17" s="1" customFormat="1" ht="15" x14ac:dyDescent="0.2">
      <c r="A50" s="1">
        <v>47</v>
      </c>
      <c r="B50" s="2"/>
      <c r="C50" s="3" t="s">
        <v>56</v>
      </c>
      <c r="D50" s="1" t="s">
        <v>59</v>
      </c>
      <c r="E50" s="1">
        <v>3</v>
      </c>
      <c r="F50" s="26">
        <v>297156.2</v>
      </c>
      <c r="G50" s="27">
        <f t="shared" si="0"/>
        <v>3195.2279569892471</v>
      </c>
      <c r="H50" s="26">
        <v>57189.2</v>
      </c>
      <c r="I50" s="43">
        <f t="shared" si="1"/>
        <v>614.93763440860209</v>
      </c>
      <c r="J50" s="29">
        <f t="shared" si="2"/>
        <v>0.19245501187590902</v>
      </c>
      <c r="K50" s="30" t="e">
        <f>(VLOOKUP(C50,$C$4:$J$50,5,0)-VLOOKUP(C50,#REF!,5,0))/VLOOKUP(C50,#REF!,5,0)</f>
        <v>#REF!</v>
      </c>
      <c r="L50" s="48">
        <v>60543</v>
      </c>
      <c r="M50" s="48">
        <f t="shared" si="3"/>
        <v>651</v>
      </c>
      <c r="N50" s="31">
        <v>0</v>
      </c>
      <c r="O50" s="32">
        <f t="shared" si="4"/>
        <v>614.93763440860209</v>
      </c>
      <c r="Q50" s="41"/>
    </row>
    <row r="51" spans="1:17" s="1" customFormat="1" ht="15.75" x14ac:dyDescent="0.25">
      <c r="B51" s="2"/>
      <c r="C51" s="35" t="s">
        <v>34</v>
      </c>
      <c r="D51" s="36"/>
      <c r="E51" s="36">
        <f>SUM(E4:E50)</f>
        <v>236</v>
      </c>
      <c r="F51" s="49">
        <f>SUM(F4:F50)</f>
        <v>261203778.21000004</v>
      </c>
      <c r="G51" s="50">
        <f>AVERAGE(G4:G50)</f>
        <v>32989.596633315217</v>
      </c>
      <c r="H51" s="49">
        <f>SUM(H4:H50)</f>
        <v>16099454.329999996</v>
      </c>
      <c r="I51" s="49">
        <f>AVERAGE(I4:I50)</f>
        <v>2057.8054161779073</v>
      </c>
      <c r="J51" s="29">
        <f>H51/F51</f>
        <v>6.1635610481317445E-2</v>
      </c>
      <c r="K51" s="30"/>
      <c r="L51" s="30"/>
      <c r="M51" s="30"/>
      <c r="N51" s="38"/>
      <c r="O51" s="39"/>
      <c r="Q51" s="41"/>
    </row>
    <row r="52" spans="1:17" s="1" customFormat="1" ht="15" x14ac:dyDescent="0.25">
      <c r="B52" s="2"/>
      <c r="C52" s="3"/>
      <c r="E52" s="4"/>
      <c r="F52" s="51"/>
      <c r="G52" s="41"/>
      <c r="H52" s="5"/>
      <c r="I52" s="4"/>
      <c r="K52" s="44"/>
      <c r="L52" s="44"/>
      <c r="M52" s="44"/>
      <c r="N52" s="45" t="s">
        <v>37</v>
      </c>
      <c r="O52" s="45"/>
      <c r="Q52" s="41"/>
    </row>
    <row r="53" spans="1:17" s="1" customFormat="1" ht="15" x14ac:dyDescent="0.25">
      <c r="B53" s="2"/>
      <c r="C53" s="3"/>
      <c r="D53" s="1" t="s">
        <v>35</v>
      </c>
      <c r="E53" s="36">
        <f ca="1">SUMIF(D4:E50,D53,E4:E50)</f>
        <v>84</v>
      </c>
      <c r="F53" s="4"/>
      <c r="G53" s="42">
        <f ca="1">AVERAGEIF(D4:G51,D53,G4:G51)</f>
        <v>33187.621209677418</v>
      </c>
      <c r="H53" s="40"/>
      <c r="I53" s="42">
        <f ca="1">AVERAGEIF(D4:I50,D53,I4:I50)</f>
        <v>1718.1593859020311</v>
      </c>
      <c r="K53" s="44"/>
      <c r="L53" s="44"/>
      <c r="M53" s="44"/>
      <c r="N53" s="45" t="s">
        <v>38</v>
      </c>
      <c r="O53" s="45"/>
      <c r="Q53" s="41"/>
    </row>
    <row r="54" spans="1:17" s="1" customFormat="1" ht="15" x14ac:dyDescent="0.25">
      <c r="B54" s="2"/>
      <c r="C54" s="3"/>
      <c r="D54" s="1" t="s">
        <v>59</v>
      </c>
      <c r="E54" s="36">
        <f ca="1">SUMIF(D4:E50,D54,E4:E50)</f>
        <v>152</v>
      </c>
      <c r="F54" s="4"/>
      <c r="G54" s="42">
        <f ca="1">AVERAGEIF(D4:G51,D54,G4:G51)</f>
        <v>32866.684827297286</v>
      </c>
      <c r="H54" s="40"/>
      <c r="I54" s="42">
        <f ca="1">AVERAGEIF(D4:I50,D54,I4:I50)</f>
        <v>2268.6201935905215</v>
      </c>
      <c r="K54" s="46"/>
      <c r="L54" s="46"/>
      <c r="M54" s="46"/>
      <c r="N54" s="45" t="s">
        <v>39</v>
      </c>
      <c r="O54" s="45"/>
      <c r="Q54" s="41"/>
    </row>
  </sheetData>
  <mergeCells count="5">
    <mergeCell ref="A1:O1"/>
    <mergeCell ref="A2:D2"/>
    <mergeCell ref="N52:O52"/>
    <mergeCell ref="N53:O53"/>
    <mergeCell ref="N54:O54"/>
  </mergeCells>
  <conditionalFormatting sqref="K7">
    <cfRule type="iconSet" priority="461">
      <iconSet iconSet="3Arrows">
        <cfvo type="percent" val="0"/>
        <cfvo type="percent" val="33"/>
        <cfvo type="percent" val="67"/>
      </iconSet>
    </cfRule>
    <cfRule type="iconSet" priority="497">
      <iconSet iconSet="3Arrows">
        <cfvo type="percent" val="0"/>
        <cfvo type="percent" val="33"/>
        <cfvo type="percent" val="67"/>
      </iconSet>
    </cfRule>
    <cfRule type="iconSet" priority="501">
      <iconSet iconSet="3Arrows">
        <cfvo type="percent" val="0"/>
        <cfvo type="percent" val="33"/>
        <cfvo type="percent" val="67"/>
      </iconSet>
    </cfRule>
  </conditionalFormatting>
  <conditionalFormatting sqref="K9">
    <cfRule type="iconSet" priority="486">
      <iconSet iconSet="3Arrows">
        <cfvo type="percent" val="0"/>
        <cfvo type="percent" val="33"/>
        <cfvo type="percent" val="67"/>
      </iconSet>
    </cfRule>
    <cfRule type="iconSet" priority="490">
      <iconSet iconSet="3Arrows">
        <cfvo type="percent" val="0"/>
        <cfvo type="percent" val="33"/>
        <cfvo type="percent" val="67"/>
      </iconSet>
    </cfRule>
  </conditionalFormatting>
  <conditionalFormatting sqref="K10 K14:K15">
    <cfRule type="iconSet" priority="539">
      <iconSet iconSet="3Arrows">
        <cfvo type="percent" val="0"/>
        <cfvo type="percent" val="33"/>
        <cfvo type="percent" val="67"/>
      </iconSet>
    </cfRule>
    <cfRule type="iconSet" priority="540">
      <iconSet iconSet="3Arrows">
        <cfvo type="percent" val="0"/>
        <cfvo type="percent" val="33"/>
        <cfvo type="percent" val="67"/>
      </iconSet>
    </cfRule>
  </conditionalFormatting>
  <conditionalFormatting sqref="K11">
    <cfRule type="iconSet" priority="229">
      <iconSet iconSet="3Arrows">
        <cfvo type="percent" val="0"/>
        <cfvo type="percent" val="33"/>
        <cfvo type="percent" val="67"/>
      </iconSet>
    </cfRule>
    <cfRule type="iconSet" priority="230">
      <iconSet iconSet="3Arrows">
        <cfvo type="percent" val="0"/>
        <cfvo type="percent" val="33"/>
        <cfvo type="percent" val="67"/>
      </iconSet>
    </cfRule>
    <cfRule type="iconSet" priority="242">
      <iconSet iconSet="3Arrows">
        <cfvo type="percent" val="0"/>
        <cfvo type="percent" val="33"/>
        <cfvo type="percent" val="67"/>
      </iconSet>
    </cfRule>
  </conditionalFormatting>
  <conditionalFormatting sqref="K17">
    <cfRule type="iconSet" priority="384">
      <iconSet iconSet="3Arrows">
        <cfvo type="percent" val="0"/>
        <cfvo type="percent" val="33"/>
        <cfvo type="percent" val="67"/>
      </iconSet>
    </cfRule>
    <cfRule type="iconSet" priority="385">
      <iconSet iconSet="3Arrows">
        <cfvo type="percent" val="0"/>
        <cfvo type="percent" val="33"/>
        <cfvo type="percent" val="67"/>
      </iconSet>
    </cfRule>
    <cfRule type="iconSet" priority="386">
      <iconSet iconSet="3Arrows">
        <cfvo type="percent" val="0"/>
        <cfvo type="percent" val="33"/>
        <cfvo type="percent" val="67"/>
      </iconSet>
    </cfRule>
    <cfRule type="iconSet" priority="387">
      <iconSet iconSet="3Arrows">
        <cfvo type="percent" val="0"/>
        <cfvo type="percent" val="33"/>
        <cfvo type="percent" val="67"/>
      </iconSet>
    </cfRule>
    <cfRule type="iconSet" priority="388">
      <iconSet iconSet="3Arrows">
        <cfvo type="percent" val="0"/>
        <cfvo type="percent" val="33"/>
        <cfvo type="percent" val="67"/>
      </iconSet>
    </cfRule>
    <cfRule type="iconSet" priority="404">
      <iconSet iconSet="3Arrows">
        <cfvo type="percent" val="0"/>
        <cfvo type="percent" val="33"/>
        <cfvo type="percent" val="67"/>
      </iconSet>
    </cfRule>
  </conditionalFormatting>
  <conditionalFormatting sqref="K19">
    <cfRule type="iconSet" priority="303">
      <iconSet iconSet="3Arrows">
        <cfvo type="percent" val="0"/>
        <cfvo type="percent" val="33"/>
        <cfvo type="percent" val="67"/>
      </iconSet>
    </cfRule>
  </conditionalFormatting>
  <conditionalFormatting sqref="K27:K28">
    <cfRule type="iconSet" priority="381">
      <iconSet iconSet="3Arrows">
        <cfvo type="percent" val="0"/>
        <cfvo type="percent" val="33"/>
        <cfvo type="percent" val="67"/>
      </iconSet>
    </cfRule>
  </conditionalFormatting>
  <conditionalFormatting sqref="K29">
    <cfRule type="iconSet" priority="214">
      <iconSet iconSet="3Arrows">
        <cfvo type="percent" val="0"/>
        <cfvo type="percent" val="33"/>
        <cfvo type="percent" val="67"/>
      </iconSet>
    </cfRule>
  </conditionalFormatting>
  <conditionalFormatting sqref="K31">
    <cfRule type="iconSet" priority="243">
      <iconSet iconSet="3Arrows">
        <cfvo type="percent" val="0"/>
        <cfvo type="percent" val="33"/>
        <cfvo type="percent" val="67"/>
      </iconSet>
    </cfRule>
  </conditionalFormatting>
  <conditionalFormatting sqref="K33">
    <cfRule type="iconSet" priority="410">
      <iconSet iconSet="3Arrows">
        <cfvo type="percent" val="0"/>
        <cfvo type="percent" val="33"/>
        <cfvo type="percent" val="67"/>
      </iconSet>
    </cfRule>
    <cfRule type="iconSet" priority="457">
      <iconSet iconSet="3Arrows">
        <cfvo type="percent" val="0"/>
        <cfvo type="percent" val="33"/>
        <cfvo type="percent" val="67"/>
      </iconSet>
    </cfRule>
    <cfRule type="iconSet" priority="460">
      <iconSet iconSet="3Arrows">
        <cfvo type="percent" val="0"/>
        <cfvo type="percent" val="33"/>
        <cfvo type="percent" val="67"/>
      </iconSet>
    </cfRule>
  </conditionalFormatting>
  <conditionalFormatting sqref="K34">
    <cfRule type="iconSet" priority="312">
      <iconSet iconSet="3Arrows">
        <cfvo type="percent" val="0"/>
        <cfvo type="percent" val="33"/>
        <cfvo type="percent" val="67"/>
      </iconSet>
    </cfRule>
    <cfRule type="iconSet" priority="316">
      <iconSet iconSet="3Arrows">
        <cfvo type="percent" val="0"/>
        <cfvo type="percent" val="33"/>
        <cfvo type="percent" val="67"/>
      </iconSet>
    </cfRule>
    <cfRule type="iconSet" priority="326">
      <iconSet iconSet="3Arrows">
        <cfvo type="percent" val="0"/>
        <cfvo type="percent" val="33"/>
        <cfvo type="percent" val="67"/>
      </iconSet>
    </cfRule>
  </conditionalFormatting>
  <conditionalFormatting sqref="K35">
    <cfRule type="iconSet" priority="475">
      <iconSet iconSet="3Arrows">
        <cfvo type="percent" val="0"/>
        <cfvo type="percent" val="33"/>
        <cfvo type="percent" val="67"/>
      </iconSet>
    </cfRule>
    <cfRule type="iconSet" priority="479">
      <iconSet iconSet="3Arrows">
        <cfvo type="percent" val="0"/>
        <cfvo type="percent" val="33"/>
        <cfvo type="percent" val="67"/>
      </iconSet>
    </cfRule>
  </conditionalFormatting>
  <conditionalFormatting sqref="K36">
    <cfRule type="iconSet" priority="433">
      <iconSet iconSet="3Arrows">
        <cfvo type="percent" val="0"/>
        <cfvo type="percent" val="33"/>
        <cfvo type="percent" val="67"/>
      </iconSet>
    </cfRule>
    <cfRule type="iconSet" priority="434">
      <iconSet iconSet="3Arrows">
        <cfvo type="percent" val="0"/>
        <cfvo type="percent" val="33"/>
        <cfvo type="percent" val="67"/>
      </iconSet>
    </cfRule>
    <cfRule type="iconSet" priority="435">
      <iconSet iconSet="3Arrows">
        <cfvo type="percent" val="0"/>
        <cfvo type="percent" val="33"/>
        <cfvo type="percent" val="67"/>
      </iconSet>
    </cfRule>
    <cfRule type="iconSet" priority="443">
      <iconSet iconSet="3Arrows">
        <cfvo type="percent" val="0"/>
        <cfvo type="percent" val="33"/>
        <cfvo type="percent" val="67"/>
      </iconSet>
    </cfRule>
    <cfRule type="iconSet" priority="446">
      <iconSet iconSet="3Arrows">
        <cfvo type="percent" val="0"/>
        <cfvo type="percent" val="33"/>
        <cfvo type="percent" val="67"/>
      </iconSet>
    </cfRule>
  </conditionalFormatting>
  <conditionalFormatting sqref="K37">
    <cfRule type="iconSet" priority="415">
      <iconSet iconSet="3Arrows">
        <cfvo type="percent" val="0"/>
        <cfvo type="percent" val="33"/>
        <cfvo type="percent" val="67"/>
      </iconSet>
    </cfRule>
    <cfRule type="iconSet" priority="416">
      <iconSet iconSet="3Arrows">
        <cfvo type="percent" val="0"/>
        <cfvo type="percent" val="33"/>
        <cfvo type="percent" val="67"/>
      </iconSet>
    </cfRule>
    <cfRule type="iconSet" priority="417">
      <iconSet iconSet="3Arrows">
        <cfvo type="percent" val="0"/>
        <cfvo type="percent" val="33"/>
        <cfvo type="percent" val="67"/>
      </iconSet>
    </cfRule>
    <cfRule type="iconSet" priority="425">
      <iconSet iconSet="3Arrows">
        <cfvo type="percent" val="0"/>
        <cfvo type="percent" val="33"/>
        <cfvo type="percent" val="67"/>
      </iconSet>
    </cfRule>
    <cfRule type="iconSet" priority="428">
      <iconSet iconSet="3Arrows">
        <cfvo type="percent" val="0"/>
        <cfvo type="percent" val="33"/>
        <cfvo type="percent" val="67"/>
      </iconSet>
    </cfRule>
  </conditionalFormatting>
  <conditionalFormatting sqref="K39">
    <cfRule type="iconSet" priority="553">
      <iconSet iconSet="3Arrows">
        <cfvo type="percent" val="0"/>
        <cfvo type="percent" val="33"/>
        <cfvo type="percent" val="67"/>
      </iconSet>
    </cfRule>
    <cfRule type="iconSet" priority="554">
      <iconSet iconSet="3Arrows">
        <cfvo type="percent" val="0"/>
        <cfvo type="percent" val="33"/>
        <cfvo type="percent" val="67"/>
      </iconSet>
    </cfRule>
    <cfRule type="iconSet" priority="555">
      <iconSet iconSet="3Arrows">
        <cfvo type="percent" val="0"/>
        <cfvo type="percent" val="33"/>
        <cfvo type="percent" val="67"/>
      </iconSet>
    </cfRule>
  </conditionalFormatting>
  <conditionalFormatting sqref="K42">
    <cfRule type="iconSet" priority="190">
      <iconSet iconSet="3Arrows">
        <cfvo type="percent" val="0"/>
        <cfvo type="percent" val="33"/>
        <cfvo type="percent" val="67"/>
      </iconSet>
    </cfRule>
  </conditionalFormatting>
  <conditionalFormatting sqref="K44">
    <cfRule type="iconSet" priority="283">
      <iconSet iconSet="3Arrows">
        <cfvo type="percent" val="0"/>
        <cfvo type="percent" val="33"/>
        <cfvo type="percent" val="67"/>
      </iconSet>
    </cfRule>
  </conditionalFormatting>
  <conditionalFormatting sqref="K46:K47">
    <cfRule type="iconSet" priority="408">
      <iconSet iconSet="3Arrows">
        <cfvo type="percent" val="0"/>
        <cfvo type="percent" val="33"/>
        <cfvo type="percent" val="67"/>
      </iconSet>
    </cfRule>
    <cfRule type="iconSet" priority="409">
      <iconSet iconSet="3Arrows">
        <cfvo type="percent" val="0"/>
        <cfvo type="percent" val="33"/>
        <cfvo type="percent" val="67"/>
      </iconSet>
    </cfRule>
  </conditionalFormatting>
  <conditionalFormatting sqref="K48">
    <cfRule type="iconSet" priority="507">
      <iconSet iconSet="3Arrows">
        <cfvo type="percent" val="0"/>
        <cfvo type="percent" val="33"/>
        <cfvo type="percent" val="67"/>
      </iconSet>
    </cfRule>
    <cfRule type="iconSet" priority="511">
      <iconSet iconSet="3Arrows">
        <cfvo type="percent" val="0"/>
        <cfvo type="percent" val="33"/>
        <cfvo type="percent" val="67"/>
      </iconSet>
    </cfRule>
  </conditionalFormatting>
  <conditionalFormatting sqref="K50">
    <cfRule type="iconSet" priority="406">
      <iconSet iconSet="3Arrows">
        <cfvo type="percent" val="0"/>
        <cfvo type="percent" val="33"/>
        <cfvo type="percent" val="67"/>
      </iconSet>
    </cfRule>
    <cfRule type="iconSet" priority="407">
      <iconSet iconSet="3Arrows">
        <cfvo type="percent" val="0"/>
        <cfvo type="percent" val="33"/>
        <cfvo type="percent" val="67"/>
      </iconSet>
    </cfRule>
  </conditionalFormatting>
  <conditionalFormatting sqref="K51:M51">
    <cfRule type="iconSet" priority="551">
      <iconSet iconSet="3Arrows">
        <cfvo type="percent" val="0"/>
        <cfvo type="percent" val="33"/>
        <cfvo type="percent" val="67"/>
      </iconSet>
    </cfRule>
    <cfRule type="iconSet" priority="552">
      <iconSet iconSet="3Arrows">
        <cfvo type="percent" val="0"/>
        <cfvo type="percent" val="33"/>
        <cfvo type="percent" val="67"/>
      </iconSet>
    </cfRule>
  </conditionalFormatting>
  <conditionalFormatting sqref="O4">
    <cfRule type="dataBar" priority="5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{74607259-AF48-415F-AF0E-C896CA4D23EA}</x14:id>
        </ext>
      </extLst>
    </cfRule>
  </conditionalFormatting>
  <conditionalFormatting sqref="O30:O37 O4:O10 O14:O15 O43:O50 O17:O20 O22:O24 O26:O28 O39:O41">
    <cfRule type="dataBar" priority="5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{F0EC1940-F0CF-45B4-AD60-16D342C907B1}</x14:id>
        </ext>
      </extLst>
    </cfRule>
  </conditionalFormatting>
  <conditionalFormatting sqref="O30:O37 O4:O11 O43:O50 O14:O15 O17:O20 O22:O24 O26:O28 O39:O41">
    <cfRule type="dataBar" priority="5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{A39F274E-4B8C-4EE3-8467-1318C69AC4EE}</x14:id>
        </ext>
      </extLst>
    </cfRule>
  </conditionalFormatting>
  <conditionalFormatting sqref="O7">
    <cfRule type="dataBar" priority="4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{7A3BF2E5-A25A-46C8-92D1-0AA39362AD83}</x14:id>
        </ext>
      </extLst>
    </cfRule>
    <cfRule type="dataBar" priority="4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{474AA2A5-4DF4-49D2-88E3-08B4FD836668}</x14:id>
        </ext>
      </extLst>
    </cfRule>
    <cfRule type="dataBar" priority="4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{B53E3C43-638B-4080-8FE4-F5A54B39BBFA}</x14:id>
        </ext>
      </extLst>
    </cfRule>
    <cfRule type="dataBar" priority="4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{40994AFF-3630-4601-8B30-E0EE85B05595}</x14:id>
        </ext>
      </extLst>
    </cfRule>
    <cfRule type="dataBar" priority="4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{AD2DE892-8396-4B5D-9136-86EA6AB8371B}</x14:id>
        </ext>
      </extLst>
    </cfRule>
    <cfRule type="dataBar" priority="4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{9920E086-346A-454B-B0F4-35FA71B9CBED}</x14:id>
        </ext>
      </extLst>
    </cfRule>
    <cfRule type="dataBar" priority="5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{A344E655-5ACB-4AA1-B5A8-39D336492EAE}</x14:id>
        </ext>
      </extLst>
    </cfRule>
    <cfRule type="dataBar" priority="5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{8B291B43-0AA1-4E6D-B00F-50FC86C24F81}</x14:id>
        </ext>
      </extLst>
    </cfRule>
    <cfRule type="dataBar" priority="5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{C76F9A16-E4F3-4422-8E0F-7CCC3C8CAEEE}</x14:id>
        </ext>
      </extLst>
    </cfRule>
  </conditionalFormatting>
  <conditionalFormatting sqref="O9">
    <cfRule type="dataBar" priority="4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{AF9EFAB8-D880-4BB6-A86E-15725F9D9C9B}</x14:id>
        </ext>
      </extLst>
    </cfRule>
    <cfRule type="dataBar" priority="4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{46F0BF54-7F97-46BD-890C-0688C0F4A002}</x14:id>
        </ext>
      </extLst>
    </cfRule>
    <cfRule type="dataBar" priority="4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{30DC34B4-2781-426F-AA76-3C3EA9052753}</x14:id>
        </ext>
      </extLst>
    </cfRule>
    <cfRule type="dataBar" priority="4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{B2923715-0DEF-4D05-B7F6-C5DEA50B790A}</x14:id>
        </ext>
      </extLst>
    </cfRule>
    <cfRule type="dataBar" priority="4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{D8EC2343-D80D-49E8-B1E2-DD9D513A140A}</x14:id>
        </ext>
      </extLst>
    </cfRule>
    <cfRule type="dataBar" priority="4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{5A2722E7-E892-4875-9F16-2565D960060F}</x14:id>
        </ext>
      </extLst>
    </cfRule>
    <cfRule type="dataBar" priority="4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{136029C9-503F-4FFE-952A-B28B6BA1810B}</x14:id>
        </ext>
      </extLst>
    </cfRule>
    <cfRule type="dataBar" priority="4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{FEE1A7A7-8961-4DC4-99BA-28D6A0F13261}</x14:id>
        </ext>
      </extLst>
    </cfRule>
    <cfRule type="dataBar" priority="4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{56178540-F8DC-4350-A316-92491AFD6518}</x14:id>
        </ext>
      </extLst>
    </cfRule>
  </conditionalFormatting>
  <conditionalFormatting sqref="O10 O14">
    <cfRule type="dataBar" priority="5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{E993C595-7B5F-45E4-9A61-BF01155004AF}</x14:id>
        </ext>
      </extLst>
    </cfRule>
    <cfRule type="dataBar" priority="5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{9C69E3F8-0416-40C7-B0CF-8FD206751E61}</x14:id>
        </ext>
      </extLst>
    </cfRule>
    <cfRule type="dataBar" priority="5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{08D8C4A1-73F9-49D4-B141-B4E8798749F8}</x14:id>
        </ext>
      </extLst>
    </cfRule>
    <cfRule type="dataBar" priority="5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{4AF48A7C-809E-4562-9C3E-D87C59C90CDA}</x14:id>
        </ext>
      </extLst>
    </cfRule>
    <cfRule type="dataBar" priority="5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{48566039-700E-4257-BD94-969E9868932F}</x14:id>
        </ext>
      </extLst>
    </cfRule>
    <cfRule type="dataBar" priority="5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{E385F82C-45EF-4C28-8DDC-5757F2E208AB}</x14:id>
        </ext>
      </extLst>
    </cfRule>
    <cfRule type="dataBar" priority="5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{0EC5D92E-54F3-4E0F-9A3D-6775BAAA3787}</x14:id>
        </ext>
      </extLst>
    </cfRule>
    <cfRule type="dataBar" priority="5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{3507BB95-D0CB-4D6A-B8B1-66681072644A}</x14:id>
        </ext>
      </extLst>
    </cfRule>
    <cfRule type="dataBar" priority="5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{B079B8C1-70FB-4FF8-850E-44CB1D9CB9AF}</x14:id>
        </ext>
      </extLst>
    </cfRule>
    <cfRule type="dataBar" priority="5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{F562AD0F-54BC-4E47-A8A6-DA4913C37BB9}</x14:id>
        </ext>
      </extLst>
    </cfRule>
  </conditionalFormatting>
  <conditionalFormatting sqref="O11">
    <cfRule type="dataBar" priority="2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{CA391565-D90D-4C1B-9B4D-07B960BF2EEE}</x14:id>
        </ext>
      </extLst>
    </cfRule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{5EC87BD5-B18C-4AA2-BC26-A923605C9C12}</x14:id>
        </ext>
      </extLst>
    </cfRule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{15C2DF84-15C5-47C4-B365-787396605888}</x14:id>
        </ext>
      </extLst>
    </cfRule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{602EDCB6-FBDE-478F-A5EB-BA8AE9B0E8F1}</x14:id>
        </ext>
      </extLst>
    </cfRule>
    <cfRule type="dataBar" priority="2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{80BEA1AF-8C9E-49D1-B328-BB6821919873}</x14:id>
        </ext>
      </extLst>
    </cfRule>
    <cfRule type="dataBar" priority="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{07C48221-F85C-4129-A8A3-A6248BF68DAF}</x14:id>
        </ext>
      </extLst>
    </cfRule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{FC0E434E-F4F0-49C3-B5BB-A0C6C68BFB6A}</x14:id>
        </ext>
      </extLst>
    </cfRule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{1B07632F-5C83-4CF5-8F2B-15F2E6F93690}</x14:id>
        </ext>
      </extLst>
    </cfRule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{B4F50C64-9975-4868-846C-A587BD617F11}</x14:id>
        </ext>
      </extLst>
    </cfRule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{A7D354A0-28A7-4DBF-87DB-EE7B36A6FD17}</x14:id>
        </ext>
      </extLst>
    </cfRule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{9C611F13-B14E-4A51-88FA-B664AB716B96}</x14:id>
        </ext>
      </extLst>
    </cfRule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{818C8FF4-D567-4D3B-8B0C-63DF0F628E41}</x14:id>
        </ext>
      </extLst>
    </cfRule>
    <cfRule type="dataBar" priority="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{2989967C-777C-48F5-9DE1-953FA850AA55}</x14:id>
        </ext>
      </extLst>
    </cfRule>
    <cfRule type="dataBar" priority="2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{8DFD4439-E4B2-4E3C-91E5-EFA5A42AC8C4}</x14:id>
        </ext>
      </extLst>
    </cfRule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{2C7F3690-6E0F-4E65-B583-6EDF6701EC4A}</x14:id>
        </ext>
      </extLst>
    </cfRule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{58C278E1-935A-4604-AC24-DC4E72D7F04F}</x14:id>
        </ext>
      </extLst>
    </cfRule>
    <cfRule type="dataBar" priority="2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{87B0F47C-2E3F-40A6-B462-0A611860A124}</x14:id>
        </ext>
      </extLst>
    </cfRule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{2994EF41-33A3-408C-A85C-FEF7A489882C}</x14:id>
        </ext>
      </extLst>
    </cfRule>
    <cfRule type="dataBar" priority="2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{6894EFD1-163D-43CD-90F8-1765E07E23DF}</x14:id>
        </ext>
      </extLst>
    </cfRule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{1F7D5787-1B4F-45A8-BDBB-33C763145E62}</x14:id>
        </ext>
      </extLst>
    </cfRule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{F45683C8-0770-4227-9C21-53693570553C}</x14:id>
        </ext>
      </extLst>
    </cfRule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{F08C8029-0A86-4F53-AA3D-83B4B01E84A5}</x14:id>
        </ext>
      </extLst>
    </cfRule>
    <cfRule type="dataBar" priority="2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{DC17D59E-C0EF-485E-AABA-6C1F2BA0E837}</x14:id>
        </ext>
      </extLst>
    </cfRule>
  </conditionalFormatting>
  <conditionalFormatting sqref="O15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{19F2116F-ACAC-4F90-ADFC-C316B22E9F18}</x14:id>
        </ext>
      </extLst>
    </cfRule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{374928C4-7B93-4EA0-AE93-7DD08C2BAED2}</x14:id>
        </ext>
      </extLst>
    </cfRule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{33127CA8-AC36-4515-AD68-C693699DB515}</x14:id>
        </ext>
      </extLst>
    </cfRule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{07D82DCF-844F-4251-B648-267098F23408}</x14:id>
        </ext>
      </extLst>
    </cfRule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{5B781F5B-0864-46B0-A06A-69F3293B296B}</x14:id>
        </ext>
      </extLst>
    </cfRule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{D65AFACA-2C23-40A0-B879-30CABCF03930}</x14:id>
        </ext>
      </extLst>
    </cfRule>
    <cfRule type="dataBar" priority="3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{C0905FD0-F687-49F0-A274-86E6413D703F}</x14:id>
        </ext>
      </extLst>
    </cfRule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{A93A250F-1DD0-4CBD-8EB6-0A414226BD23}</x14:id>
        </ext>
      </extLst>
    </cfRule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{14399FE7-026C-400E-9C43-CFA9604B64DB}</x14:id>
        </ext>
      </extLst>
    </cfRule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{0EAE50AB-6516-43A5-AE72-6C5A1F7936B2}</x14:id>
        </ext>
      </extLst>
    </cfRule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{24826F89-BB49-44C2-A2E2-4269F4B52C8E}</x14:id>
        </ext>
      </extLst>
    </cfRule>
    <cfRule type="dataBar" priority="3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{8315CC35-9084-40F7-BBDD-88CFBEF0FADE}</x14:id>
        </ext>
      </extLst>
    </cfRule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{BBFE94CD-CDDD-4268-B435-42B8752328D9}</x14:id>
        </ext>
      </extLst>
    </cfRule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{61F95995-8031-4C42-BB06-53850D9A7AA2}</x14:id>
        </ext>
      </extLst>
    </cfRule>
    <cfRule type="dataBar" priority="3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{50957D60-DBC3-44DD-8924-E284B1399FF8}</x14:id>
        </ext>
      </extLst>
    </cfRule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{F2B0D413-D19C-43A2-ACB8-B28BD5C82365}</x14:id>
        </ext>
      </extLst>
    </cfRule>
    <cfRule type="dataBar" priority="3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{1043CA75-6FBA-4C85-AA1B-96F56EA3C006}</x14:id>
        </ext>
      </extLst>
    </cfRule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{513D92D2-2829-462B-8ACB-69C0A968712B}</x14:id>
        </ext>
      </extLst>
    </cfRule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{788B8853-AC9A-4912-9E6D-4B500AD98A1D}</x14:id>
        </ext>
      </extLst>
    </cfRule>
  </conditionalFormatting>
  <conditionalFormatting sqref="O17"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{F2E8F114-8FB6-4EF3-9CBB-A9A20338296D}</x14:id>
        </ext>
      </extLst>
    </cfRule>
    <cfRule type="dataBar" priority="3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{26998B51-68BB-486A-84DC-4F0F74F249A7}</x14:id>
        </ext>
      </extLst>
    </cfRule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{A2B2C305-C1DA-4585-8E89-A61EA5C7D5EE}</x14:id>
        </ext>
      </extLst>
    </cfRule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{D90F3CA9-9255-45B6-831C-532FDF66341D}</x14:id>
        </ext>
      </extLst>
    </cfRule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{8E7D63AF-E7F7-4277-B475-9DAD4570AC8E}</x14:id>
        </ext>
      </extLst>
    </cfRule>
    <cfRule type="dataBar" priority="3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{EF30057D-25A8-4FFE-9877-1D0071B2C42D}</x14:id>
        </ext>
      </extLst>
    </cfRule>
    <cfRule type="dataBar" priority="3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{D3D82F40-1886-407B-B59F-FC6B5F3D7D51}</x14:id>
        </ext>
      </extLst>
    </cfRule>
    <cfRule type="dataBar" priority="3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{6F2ED794-78E5-455F-BC05-E98DA7AE2625}</x14:id>
        </ext>
      </extLst>
    </cfRule>
    <cfRule type="dataBar" priority="3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{ACC8649C-F646-4C1B-9E4C-DA18FD570E09}</x14:id>
        </ext>
      </extLst>
    </cfRule>
    <cfRule type="dataBar" priority="3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{7FD7E2BF-6CC8-4362-8499-01A11E228C21}</x14:id>
        </ext>
      </extLst>
    </cfRule>
    <cfRule type="dataBar" priority="3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{5AF01C6F-FBCF-4F24-90FA-2FFADC2B1AFF}</x14:id>
        </ext>
      </extLst>
    </cfRule>
    <cfRule type="dataBar" priority="3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{725B303C-27F5-41E5-A39E-79D7F917E1CD}</x14:id>
        </ext>
      </extLst>
    </cfRule>
    <cfRule type="dataBar" priority="4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{0FB4916F-1A2B-44EF-9B76-4BF3F1E83651}</x14:id>
        </ext>
      </extLst>
    </cfRule>
    <cfRule type="dataBar" priority="4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{F1A10518-5E90-445B-AABA-C3D9F6C6FA02}</x14:id>
        </ext>
      </extLst>
    </cfRule>
    <cfRule type="dataBar" priority="4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{AD5D509A-D399-45F9-870E-DB857070CC45}</x14:id>
        </ext>
      </extLst>
    </cfRule>
    <cfRule type="dataBar" priority="4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{C3B628C0-2BB3-4556-8F2B-887DBE648715}</x14:id>
        </ext>
      </extLst>
    </cfRule>
  </conditionalFormatting>
  <conditionalFormatting sqref="O19"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{34740DB5-EF75-444F-A376-7C3FF0DAC558}</x14:id>
        </ext>
      </extLst>
    </cfRule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{47A6CD50-7431-48F8-A882-96C03DAF2861}</x14:id>
        </ext>
      </extLst>
    </cfRule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{D450F9A2-E134-471C-9B34-EE401958EDF7}</x14:id>
        </ext>
      </extLst>
    </cfRule>
    <cfRule type="dataBar" priority="2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{B528F652-1943-4B45-8015-2317D556CFB5}</x14:id>
        </ext>
      </extLst>
    </cfRule>
    <cfRule type="dataBar" priority="2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{0D48A7A9-2317-4FD0-9694-35255A264951}</x14:id>
        </ext>
      </extLst>
    </cfRule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{E88C0758-BFA8-497F-927D-C59621E06F9B}</x14:id>
        </ext>
      </extLst>
    </cfRule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{942D84B8-44E7-4F39-99BF-6DB703F74ADA}</x14:id>
        </ext>
      </extLst>
    </cfRule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{4B5EE836-380B-4D4B-B483-C894CA84ACEB}</x14:id>
        </ext>
      </extLst>
    </cfRule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{98E66391-0A7C-4F6A-9823-5E6DE7DF6769}</x14:id>
        </ext>
      </extLst>
    </cfRule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{1AF15341-D264-4370-8887-A8BB406033C0}</x14:id>
        </ext>
      </extLst>
    </cfRule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{FD7F4A07-3F98-4F1F-9FEC-79246DC85B1E}</x14:id>
        </ext>
      </extLst>
    </cfRule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{B319330A-3860-4FC6-BCF4-F85FEB93CDF4}</x14:id>
        </ext>
      </extLst>
    </cfRule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{C0C08FB1-2607-402A-9F42-0D42ED0129BC}</x14:id>
        </ext>
      </extLst>
    </cfRule>
    <cfRule type="dataBar" priority="2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{6C618A44-D11C-4ED3-9E62-89BE21D509DD}</x14:id>
        </ext>
      </extLst>
    </cfRule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{B282F56C-4808-4E56-9A0E-4FBE1B336A7F}</x14:id>
        </ext>
      </extLst>
    </cfRule>
    <cfRule type="dataBar" priority="3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{8C312825-79A9-4F46-8C11-56BD78E21151}</x14:id>
        </ext>
      </extLst>
    </cfRule>
    <cfRule type="dataBar" priority="3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{3C5986E4-F178-47D1-A426-655793FFCB8B}</x14:id>
        </ext>
      </extLst>
    </cfRule>
    <cfRule type="dataBar" priority="3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{D14FC315-04F1-4491-9B26-48E0F0116294}</x14:id>
        </ext>
      </extLst>
    </cfRule>
  </conditionalFormatting>
  <conditionalFormatting sqref="O27:O28"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{30187077-F693-4A93-8876-8376E502695E}</x14:id>
        </ext>
      </extLst>
    </cfRule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{43A189BE-921D-4A50-88A2-B9292172FA44}</x14:id>
        </ext>
      </extLst>
    </cfRule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{569256E7-DAF5-4328-916C-033C5DA61653}</x14:id>
        </ext>
      </extLst>
    </cfRule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{18644B97-6E56-4577-9151-42711971B319}</x14:id>
        </ext>
      </extLst>
    </cfRule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{C471EB4B-878A-42AD-8593-5F604F1BF39D}</x14:id>
        </ext>
      </extLst>
    </cfRule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{CA540D57-8D3B-48F5-BDD8-BF5756F58786}</x14:id>
        </ext>
      </extLst>
    </cfRule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{8DA21417-1777-4352-94FF-9AD9B6518CDF}</x14:id>
        </ext>
      </extLst>
    </cfRule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{B756A44C-9733-4BFE-A30E-FAC9CB1BB4A6}</x14:id>
        </ext>
      </extLst>
    </cfRule>
    <cfRule type="dataBar" priority="3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{BB131CC1-22B4-4FC5-ADF7-2223B70B40A7}</x14:id>
        </ext>
      </extLst>
    </cfRule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{C2117ACC-A220-4F4A-A90A-D62070D34394}</x14:id>
        </ext>
      </extLst>
    </cfRule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{222316F7-494B-4E47-AC93-E811320ADA65}</x14:id>
        </ext>
      </extLst>
    </cfRule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{9B16F677-D6E2-41D4-9AD7-C415FFBDD184}</x14:id>
        </ext>
      </extLst>
    </cfRule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{81AEBE7B-89CE-42CF-B2B5-E64BB59B0C55}</x14:id>
        </ext>
      </extLst>
    </cfRule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{A52002A0-0E45-4C67-80CC-37E45EF2EE57}</x14:id>
        </ext>
      </extLst>
    </cfRule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{94EF0240-0F96-4CE7-8B72-8DEAA60C39D4}</x14:id>
        </ext>
      </extLst>
    </cfRule>
    <cfRule type="dataBar" priority="3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{D3310A31-A3EC-4235-A91F-DBDC33BFE3C0}</x14:id>
        </ext>
      </extLst>
    </cfRule>
  </conditionalFormatting>
  <conditionalFormatting sqref="O29"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{8F353616-2418-4136-BD8A-4C467D918616}</x14:id>
        </ext>
      </extLst>
    </cfRule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{DE7C3B3A-2265-4730-B972-DBD4793AD7DA}</x14:id>
        </ext>
      </extLst>
    </cfRule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{95D239F8-2AF9-4F88-89B1-66DABE774797}</x14:id>
        </ext>
      </extLst>
    </cfRule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{DE5F5BC0-D216-4ED4-A1B1-8C68B027373D}</x14:id>
        </ext>
      </extLst>
    </cfRule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{3487DC2A-CB74-421F-992F-E2A6E3D50ADC}</x14:id>
        </ext>
      </extLst>
    </cfRule>
    <cfRule type="dataBar" priority="19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{B28BFE25-D7A9-4455-A1D2-E482BED96C73}</x14:id>
        </ext>
      </extLst>
    </cfRule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{F24EA43D-1E97-457E-A3C0-36D197F9AB3D}</x14:id>
        </ext>
      </extLst>
    </cfRule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{A6E27CB0-BDBD-4976-91DA-0B6431AA6578}</x14:id>
        </ext>
      </extLst>
    </cfRule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{C0F7E855-86C0-4AD4-8CC4-82A095C0FA70}</x14:id>
        </ext>
      </extLst>
    </cfRule>
    <cfRule type="dataBar" priority="2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{9389B344-35C0-4D37-98B8-3E34FA068C05}</x14:id>
        </ext>
      </extLst>
    </cfRule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{226B3CE1-501E-4A22-B137-AA51358DF8AC}</x14:id>
        </ext>
      </extLst>
    </cfRule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{69E30665-F906-46AA-BE7F-7031A5A76DC9}</x14:id>
        </ext>
      </extLst>
    </cfRule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{B449CC7B-EDEA-4D7D-9CBA-44CC1F573B50}</x14:id>
        </ext>
      </extLst>
    </cfRule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{211743A3-3A07-43F4-8EF5-4E6849379DCF}</x14:id>
        </ext>
      </extLst>
    </cfRule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{A7B6114A-4E3B-43F6-B296-F416ECB839FA}</x14:id>
        </ext>
      </extLst>
    </cfRule>
    <cfRule type="dataBar" priority="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{AA28E0FA-16A3-4027-BD08-CE3A6465B4ED}</x14:id>
        </ext>
      </extLst>
    </cfRule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{9BBBDF3F-DFF8-48CB-BE59-8C20A97ECA4B}</x14:id>
        </ext>
      </extLst>
    </cfRule>
    <cfRule type="dataBar" priority="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{C3F3EE32-2F79-4E3B-A9DB-3B24EAB2321F}</x14:id>
        </ext>
      </extLst>
    </cfRule>
    <cfRule type="dataBar" priority="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{DAA3324A-5250-4E16-83A7-092E93E7B1CC}</x14:id>
        </ext>
      </extLst>
    </cfRule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{88DB2A07-7920-4B67-BAF2-C32E21774373}</x14:id>
        </ext>
      </extLst>
    </cfRule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{DF79D3F0-0658-488B-889B-BED5EE3C3C6D}</x14:id>
        </ext>
      </extLst>
    </cfRule>
    <cfRule type="dataBar" priority="2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{9AF47DCB-2ED3-44E9-90A5-9ADCD3C6D58F}</x14:id>
        </ext>
      </extLst>
    </cfRule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{9C32744E-1B32-4385-9971-19309E821237}</x14:id>
        </ext>
      </extLst>
    </cfRule>
  </conditionalFormatting>
  <conditionalFormatting sqref="O31"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{0098807C-CEFD-4822-92C7-06B16C3F9EC8}</x14:id>
        </ext>
      </extLst>
    </cfRule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{181E78D2-426A-4B62-BE89-D83B2A9329B8}</x14:id>
        </ext>
      </extLst>
    </cfRule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{64DFA066-E560-478C-968E-73A15470E6D4}</x14:id>
        </ext>
      </extLst>
    </cfRule>
    <cfRule type="dataBar" priority="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{6F51555E-8E91-4A71-B9BB-2013E2A0A83F}</x14:id>
        </ext>
      </extLst>
    </cfRule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{3DCB0C9A-A6A5-4E10-82C5-BDF81A1A37CC}</x14:id>
        </ext>
      </extLst>
    </cfRule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{C04F8E8D-247E-40C5-A567-2E4E14AE62CA}</x14:id>
        </ext>
      </extLst>
    </cfRule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{E54E96E9-2601-4F2D-B756-DFF5F0035293}</x14:id>
        </ext>
      </extLst>
    </cfRule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{444141E1-FB61-4DE0-8934-611E9F074593}</x14:id>
        </ext>
      </extLst>
    </cfRule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{96683D28-362F-4F66-9DC7-2FCA9BF93171}</x14:id>
        </ext>
      </extLst>
    </cfRule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{14F0A228-AB8B-4160-8362-858A0966643B}</x14:id>
        </ext>
      </extLst>
    </cfRule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{F00D0EC0-3343-41B7-8728-392FDA7EB0B7}</x14:id>
        </ext>
      </extLst>
    </cfRule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{2CA2ECA8-BF46-411C-B9E4-904E27C16260}</x14:id>
        </ext>
      </extLst>
    </cfRule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{05A5560A-BB77-44C2-AEF1-767975BFD13F}</x14:id>
        </ext>
      </extLst>
    </cfRule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{66AEBFB9-CA0A-4181-A18D-9E4FA746159D}</x14:id>
        </ext>
      </extLst>
    </cfRule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{121F4A33-01F2-4C70-BA49-9D99C360FC8F}</x14:id>
        </ext>
      </extLst>
    </cfRule>
    <cfRule type="dataBar" priority="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{3DC36A7E-B9CF-4C78-AAED-2C6F6F3EACF2}</x14:id>
        </ext>
      </extLst>
    </cfRule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{DE8313BF-ED93-4118-B8D5-BC27052F8421}</x14:id>
        </ext>
      </extLst>
    </cfRule>
    <cfRule type="dataBar" priority="2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{ABD20A12-E002-422E-B4AC-9D1C2E5079C9}</x14:id>
        </ext>
      </extLst>
    </cfRule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{417E397C-B68F-45C9-BF2A-33C5F3017BCD}</x14:id>
        </ext>
      </extLst>
    </cfRule>
    <cfRule type="dataBar" priority="2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{56B0219D-7695-446C-BEC0-E376245A5039}</x14:id>
        </ext>
      </extLst>
    </cfRule>
  </conditionalFormatting>
  <conditionalFormatting sqref="O32:O37 O4:O10 O14:O15 O30 O43:O50 O17:O20 O22:O24 O26:O28 O39:O41">
    <cfRule type="dataBar" priority="5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{BCE57C7F-6EAE-4DCD-9DF8-CA9122138D64}</x14:id>
        </ext>
      </extLst>
    </cfRule>
  </conditionalFormatting>
  <conditionalFormatting sqref="O33">
    <cfRule type="dataBar" priority="4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{952D525A-C9C5-4DE9-91E5-2E23FB2B6A59}</x14:id>
        </ext>
      </extLst>
    </cfRule>
    <cfRule type="dataBar" priority="4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{1652CDDD-ADF7-4726-BDB9-D4B583873A64}</x14:id>
        </ext>
      </extLst>
    </cfRule>
    <cfRule type="dataBar" priority="4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{4790BAB2-30E7-4377-A6F2-0B6567D7A4C6}</x14:id>
        </ext>
      </extLst>
    </cfRule>
    <cfRule type="dataBar" priority="4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{DA52BF00-466A-456A-A0F1-2493D71765AC}</x14:id>
        </ext>
      </extLst>
    </cfRule>
    <cfRule type="dataBar" priority="4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{DE217E84-6CD0-4FB9-BE79-00EFDEC4375B}</x14:id>
        </ext>
      </extLst>
    </cfRule>
    <cfRule type="dataBar" priority="4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{92EE7AAD-E1CC-4679-9D61-35B5E6BEC468}</x14:id>
        </ext>
      </extLst>
    </cfRule>
    <cfRule type="dataBar" priority="4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{91C2EC34-664E-497B-A43E-9218AD67A75A}</x14:id>
        </ext>
      </extLst>
    </cfRule>
    <cfRule type="dataBar" priority="4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{BF9FF3EB-7496-48A0-A7DC-2DE0641DDB39}</x14:id>
        </ext>
      </extLst>
    </cfRule>
    <cfRule type="dataBar" priority="4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{40AB8911-A5DF-40F2-836F-ADDF51B26DA4}</x14:id>
        </ext>
      </extLst>
    </cfRule>
    <cfRule type="dataBar" priority="4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{E7142877-45E6-417E-A9C1-17100AFD8C4E}</x14:id>
        </ext>
      </extLst>
    </cfRule>
    <cfRule type="dataBar" priority="4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{EAC244FF-6F1D-4E29-8615-36015AF9F478}</x14:id>
        </ext>
      </extLst>
    </cfRule>
    <cfRule type="dataBar" priority="4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{ACD6D21F-023A-4731-90B3-D761AA04DB68}</x14:id>
        </ext>
      </extLst>
    </cfRule>
  </conditionalFormatting>
  <conditionalFormatting sqref="O34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{2765B4C4-4F62-4015-AE9F-C654CE1718B0}</x14:id>
        </ext>
      </extLst>
    </cfRule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{34B01558-541E-438A-A607-5BB8962B598F}</x14:id>
        </ext>
      </extLst>
    </cfRule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{64FDA3ED-ED96-4726-B869-7874314C280A}</x14:id>
        </ext>
      </extLst>
    </cfRule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{8B10E528-0A8A-488D-BC80-8EE65D8B0B2C}</x14:id>
        </ext>
      </extLst>
    </cfRule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{6F977DB1-A019-4ADB-9203-39412C1EB308}</x14:id>
        </ext>
      </extLst>
    </cfRule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{9ADCF673-C1E9-4D1B-A059-103B5E553D78}</x14:id>
        </ext>
      </extLst>
    </cfRule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{7B396F65-3020-46A5-95AD-C8D857F0DF47}</x14:id>
        </ext>
      </extLst>
    </cfRule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{BE9A5200-E805-4EE4-8625-8410D38BDD27}</x14:id>
        </ext>
      </extLst>
    </cfRule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{A5D916AC-6416-4D24-AA99-1475353DC985}</x14:id>
        </ext>
      </extLst>
    </cfRule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{05941979-1EA2-497F-98C3-E9C70B88A1E0}</x14:id>
        </ext>
      </extLst>
    </cfRule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{30002C20-D97D-4777-96B2-EE7C1E492D57}</x14:id>
        </ext>
      </extLst>
    </cfRule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{115BCB20-D377-4DAB-BBEF-4C134788917E}</x14:id>
        </ext>
      </extLst>
    </cfRule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{E4A75BD8-64C9-42B3-BBF3-69FA491581FA}</x14:id>
        </ext>
      </extLst>
    </cfRule>
    <cfRule type="dataBar" priority="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{D5A918B3-6E78-41DD-9C5D-EAC0B6594D6D}</x14:id>
        </ext>
      </extLst>
    </cfRule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{086F173C-8FCC-414E-918B-4E4CDAA131DC}</x14:id>
        </ext>
      </extLst>
    </cfRule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{556D239C-F799-4531-AFF9-700C7270487C}</x14:id>
        </ext>
      </extLst>
    </cfRule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{8296EFDD-D367-4E42-BEA5-C43A926D618B}</x14:id>
        </ext>
      </extLst>
    </cfRule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{D0744FEC-D282-454A-A2DF-A11212374A53}</x14:id>
        </ext>
      </extLst>
    </cfRule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{76910302-28FB-498E-9E8E-F0D47E440123}</x14:id>
        </ext>
      </extLst>
    </cfRule>
    <cfRule type="dataBar" priority="3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{AC8323DF-6633-4DAC-B9EB-1F54AA159AE2}</x14:id>
        </ext>
      </extLst>
    </cfRule>
  </conditionalFormatting>
  <conditionalFormatting sqref="O35">
    <cfRule type="dataBar" priority="4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{993B8923-439B-468A-BF31-DBD9BD2149AA}</x14:id>
        </ext>
      </extLst>
    </cfRule>
    <cfRule type="dataBar" priority="4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{EDF9A7BC-5F63-41EA-82F4-35B70F2F40A9}</x14:id>
        </ext>
      </extLst>
    </cfRule>
    <cfRule type="dataBar" priority="4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{BE7523D6-01E0-4387-9613-E486213A93EC}</x14:id>
        </ext>
      </extLst>
    </cfRule>
    <cfRule type="dataBar" priority="4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{2F97585F-A60A-4F7A-9E0C-9520961D5F81}</x14:id>
        </ext>
      </extLst>
    </cfRule>
    <cfRule type="dataBar" priority="4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{B68B7E0F-0982-411F-8868-FA128A196E44}</x14:id>
        </ext>
      </extLst>
    </cfRule>
    <cfRule type="dataBar" priority="4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{651F67FC-7D1F-4BEC-A749-2A87A310F66B}</x14:id>
        </ext>
      </extLst>
    </cfRule>
    <cfRule type="dataBar" priority="4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{96317FAE-827B-40CE-BB02-02621EC043DD}</x14:id>
        </ext>
      </extLst>
    </cfRule>
    <cfRule type="dataBar" priority="4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{D39D9E79-2F23-45D3-AECE-0B9278A400E7}</x14:id>
        </ext>
      </extLst>
    </cfRule>
    <cfRule type="dataBar" priority="4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{5EAFD7C4-82B3-4315-A0C4-80879D0B098B}</x14:id>
        </ext>
      </extLst>
    </cfRule>
  </conditionalFormatting>
  <conditionalFormatting sqref="O36">
    <cfRule type="dataBar" priority="4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{7761AC76-67AC-48FA-A852-3743C19E4A21}</x14:id>
        </ext>
      </extLst>
    </cfRule>
    <cfRule type="dataBar" priority="4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{30E136C1-3F80-40B3-B385-9C0830FD6625}</x14:id>
        </ext>
      </extLst>
    </cfRule>
    <cfRule type="dataBar" priority="4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{E5339071-E3C6-47C2-AC4A-B399EEB977B8}</x14:id>
        </ext>
      </extLst>
    </cfRule>
    <cfRule type="dataBar" priority="4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{AA611AC5-D844-4BF8-A07F-B5DAE24C378E}</x14:id>
        </ext>
      </extLst>
    </cfRule>
    <cfRule type="dataBar" priority="4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{4EF1BF75-6531-40F2-88BB-042115A5ED45}</x14:id>
        </ext>
      </extLst>
    </cfRule>
    <cfRule type="dataBar" priority="4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{CE347ADA-F6D9-45A5-85AA-A9EF2A683902}</x14:id>
        </ext>
      </extLst>
    </cfRule>
    <cfRule type="dataBar" priority="4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{819F311F-90D9-4331-93B6-5AA056424ABA}</x14:id>
        </ext>
      </extLst>
    </cfRule>
    <cfRule type="dataBar" priority="4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{ADC2AF44-CE8F-45CC-AEE8-D45AC48C1801}</x14:id>
        </ext>
      </extLst>
    </cfRule>
    <cfRule type="dataBar" priority="4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{EA529C3D-1C39-496D-B21D-0AF044546C29}</x14:id>
        </ext>
      </extLst>
    </cfRule>
    <cfRule type="dataBar" priority="4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{7E320C2D-9F2B-45A6-AB49-EB0597D20349}</x14:id>
        </ext>
      </extLst>
    </cfRule>
    <cfRule type="dataBar" priority="4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{CFC2356E-8CCA-4EB4-B1CA-CA1E7A9FCF48}</x14:id>
        </ext>
      </extLst>
    </cfRule>
    <cfRule type="dataBar" priority="4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{63481D38-2782-4545-9C17-B4F606C1A1BB}</x14:id>
        </ext>
      </extLst>
    </cfRule>
    <cfRule type="dataBar" priority="4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{CB168E2C-F144-4F70-874A-E968C22E1F12}</x14:id>
        </ext>
      </extLst>
    </cfRule>
  </conditionalFormatting>
  <conditionalFormatting sqref="O37">
    <cfRule type="dataBar" priority="4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{EA3E64AF-1BAB-4C3F-83DC-2D35F212B0A7}</x14:id>
        </ext>
      </extLst>
    </cfRule>
    <cfRule type="dataBar" priority="4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{7A5A6DEC-E1E5-4882-8DB4-6673C1BD3C04}</x14:id>
        </ext>
      </extLst>
    </cfRule>
    <cfRule type="dataBar" priority="4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{C193B5A6-8A95-4C4E-9760-FF8F9BCBBDB9}</x14:id>
        </ext>
      </extLst>
    </cfRule>
    <cfRule type="dataBar" priority="4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{C2336A04-6E07-4C60-BB26-C51CCAC39EF7}</x14:id>
        </ext>
      </extLst>
    </cfRule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{C8E64A76-32D1-4EC9-A617-C2FB3B1B22A9}</x14:id>
        </ext>
      </extLst>
    </cfRule>
    <cfRule type="dataBar" priority="4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{D0D0E9F2-6D08-4579-BBF8-0307DC3BE5C2}</x14:id>
        </ext>
      </extLst>
    </cfRule>
    <cfRule type="dataBar" priority="4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{DACB421B-66F0-4090-8674-6F6D59B95881}</x14:id>
        </ext>
      </extLst>
    </cfRule>
    <cfRule type="dataBar" priority="4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{B041C59F-D2BB-4528-AA77-61494F71F86A}</x14:id>
        </ext>
      </extLst>
    </cfRule>
    <cfRule type="dataBar" priority="4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{625A5178-CEBA-400A-AFEE-9B3FC8D9FD41}</x14:id>
        </ext>
      </extLst>
    </cfRule>
    <cfRule type="dataBar" priority="4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{D3DF08CD-AE78-459F-A04A-5F9BABB5654A}</x14:id>
        </ext>
      </extLst>
    </cfRule>
    <cfRule type="dataBar" priority="4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{F8BFBF30-F167-4F2A-9ACA-4C6E68E6EE1E}</x14:id>
        </ext>
      </extLst>
    </cfRule>
    <cfRule type="dataBar" priority="4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{910336E1-5578-44B0-8B94-930424230287}</x14:id>
        </ext>
      </extLst>
    </cfRule>
    <cfRule type="dataBar" priority="4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{BB123AC8-DB19-4714-88F7-2E6BCFC00B85}</x14:id>
        </ext>
      </extLst>
    </cfRule>
  </conditionalFormatting>
  <conditionalFormatting sqref="O39"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{02569388-6F9D-4D5A-9C15-BAFF0E7A5B98}</x14:id>
        </ext>
      </extLst>
    </cfRule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{87C61A38-B63A-4376-BC12-648893A55559}</x14:id>
        </ext>
      </extLst>
    </cfRule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{F9D7EE48-73DF-41BA-B33E-5BE5FB4B612A}</x14:id>
        </ext>
      </extLst>
    </cfRule>
    <cfRule type="dataBar" priority="3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{8F121996-71F0-44DB-BBA8-EA08CF27434F}</x14:id>
        </ext>
      </extLst>
    </cfRule>
    <cfRule type="dataBar" priority="3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{E927CD15-9E3C-4AB4-B1A4-1D13881E4CBF}</x14:id>
        </ext>
      </extLst>
    </cfRule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{C84AACD2-EFB0-4C53-8FE3-D2E5E0260714}</x14:id>
        </ext>
      </extLst>
    </cfRule>
    <cfRule type="dataBar" priority="3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{018F78F7-8EEE-4402-978C-8A5DA655CDA2}</x14:id>
        </ext>
      </extLst>
    </cfRule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{53AE8A17-85C9-4ACE-855A-4557D2FCDC45}</x14:id>
        </ext>
      </extLst>
    </cfRule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{E343FB46-91B4-4332-992E-1E9D9407E892}</x14:id>
        </ext>
      </extLst>
    </cfRule>
    <cfRule type="dataBar" priority="3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{19AECDBB-E403-439F-B408-DA2ABC12219B}</x14:id>
        </ext>
      </extLst>
    </cfRule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{5C0911FF-E174-423E-B28F-F73EB28A1C92}</x14:id>
        </ext>
      </extLst>
    </cfRule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{FD7A18CA-ABC7-44F8-8259-21DCEF4C7C44}</x14:id>
        </ext>
      </extLst>
    </cfRule>
    <cfRule type="dataBar" priority="3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{735855AF-884D-4BAF-BFB5-CC67BBE13F37}</x14:id>
        </ext>
      </extLst>
    </cfRule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{7F55C6D2-FD99-4FF6-BF6D-51D951D6FB6C}</x14:id>
        </ext>
      </extLst>
    </cfRule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{7BC94299-0DD6-46B1-BE5C-3F3CFCF3C68E}</x14:id>
        </ext>
      </extLst>
    </cfRule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{D92906CE-33C8-435B-88E6-2CAA2DD0D2D1}</x14:id>
        </ext>
      </extLst>
    </cfRule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{CF0EB108-B2B5-4EBF-BECB-A875627F17BD}</x14:id>
        </ext>
      </extLst>
    </cfRule>
  </conditionalFormatting>
  <conditionalFormatting sqref="O40">
    <cfRule type="dataBar" priority="5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{341D398C-8F5E-4DB7-B542-C2BD68417A46}</x14:id>
        </ext>
      </extLst>
    </cfRule>
    <cfRule type="dataBar" priority="5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{5CEBA2A5-145E-4265-86D6-1D465327021C}</x14:id>
        </ext>
      </extLst>
    </cfRule>
    <cfRule type="dataBar" priority="5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{A8F2B5CD-5C02-4382-B96C-FB496751949E}</x14:id>
        </ext>
      </extLst>
    </cfRule>
  </conditionalFormatting>
  <conditionalFormatting sqref="O40:O41 O4:O10 O17:O18 O35:O37 O20 O48:O50 O32:O33 O14 O30 O43:O46 O22:O24 O26:O28"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{A8F88441-C41D-41F3-B980-6342DF3C99E3}</x14:id>
        </ext>
      </extLst>
    </cfRule>
  </conditionalFormatting>
  <conditionalFormatting sqref="O40:O41 O4:O10 O18 O35 O20 O48:O50 O32:O33 O14 O30 O43:O46 O22:O24 O26">
    <cfRule type="dataBar" priority="5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{C74A63E8-66EE-4F81-958F-AF352F71BE4A}</x14:id>
        </ext>
      </extLst>
    </cfRule>
  </conditionalFormatting>
  <conditionalFormatting sqref="O40:O41 O18 O20 O35 O4:O9 O48:O50 O32 O30 O43:O46 O22:O24 O26">
    <cfRule type="dataBar" priority="5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{CF7102F7-821D-41C4-82AB-1E32F3D144E2}</x14:id>
        </ext>
      </extLst>
    </cfRule>
  </conditionalFormatting>
  <conditionalFormatting sqref="O40:O41 O20 O18 O35 O4:O10 O48:O50 O32 O14 O30 O43:O46 O22:O24 O26">
    <cfRule type="dataBar" priority="5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{74FFD584-EAFC-402D-9A49-4E63A56F737A}</x14:id>
        </ext>
      </extLst>
    </cfRule>
  </conditionalFormatting>
  <conditionalFormatting sqref="O40:O41 O4:O10 O17:O18 O35:O37 O20 O48:O50 O32:O33 O14 O30 O43:O46 O22:O24 O26"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{6957AE00-1C19-419A-9B7C-C36F76496A72}</x14:id>
        </ext>
      </extLst>
    </cfRule>
  </conditionalFormatting>
  <conditionalFormatting sqref="O40:O41 O4:O10 O18 O35:O37 O20 O48:O50 O32:O33 O14 O30 O43:O46 O22:O24 O26">
    <cfRule type="dataBar" priority="5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{C2363415-F18E-4BD7-B66C-B6043E7DFC50}</x14:id>
        </ext>
      </extLst>
    </cfRule>
  </conditionalFormatting>
  <conditionalFormatting sqref="O40:O41 O18 O4:O10 O35:O37 O20 O48:O50 O32:O33 O14 O30 O43:O46 O22:O24 O26">
    <cfRule type="dataBar" priority="4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{6BC8AA66-5C66-4A86-8573-EA1C4C373B29}</x14:id>
        </ext>
      </extLst>
    </cfRule>
  </conditionalFormatting>
  <conditionalFormatting sqref="O40:O41 O18 O4:O10 O35:O37 O20 O48:O51 O32:O33 O14 O30 O43:O46 O22:O24 O26">
    <cfRule type="dataBar" priority="5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{2BA8306C-1FF2-4319-B98C-4DC15B78CC30}</x14:id>
        </ext>
      </extLst>
    </cfRule>
  </conditionalFormatting>
  <conditionalFormatting sqref="O40:O41 O35 O4:O10 O18 O20 O48:O50 O32 O14 O30 O43:O46 O22:O24 O26">
    <cfRule type="dataBar" priority="5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{73734480-10B9-41A5-A650-CBDCF85CA1C1}</x14:id>
        </ext>
      </extLst>
    </cfRule>
  </conditionalFormatting>
  <conditionalFormatting sqref="O40:O41 O35 O18 O4:O10 O20 O48:O50 O32 O14 O30 O43:O46 O22:O24 O26">
    <cfRule type="dataBar" priority="5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{0EB78078-61F9-4CAD-AC39-5BB257D6612B}</x14:id>
        </ext>
      </extLst>
    </cfRule>
  </conditionalFormatting>
  <conditionalFormatting sqref="O41 O49 O30 O5:O6 O8 O18 O20 O32 O43 O22:O24 O26">
    <cfRule type="dataBar" priority="5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{00DEC112-7795-460F-9874-8E39437EA891}</x14:id>
        </ext>
      </extLst>
    </cfRule>
  </conditionalFormatting>
  <conditionalFormatting sqref="O42">
    <cfRule type="dataBar" priority="1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{B21FF0EF-A8BF-4A57-99E1-E7891C9C8A7E}</x14:id>
        </ext>
      </extLst>
    </cfRule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{58A9C426-6282-4834-BA19-5C814A90ABFE}</x14:id>
        </ext>
      </extLst>
    </cfRule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{C0F5C54B-915B-4C93-A640-AE28DBAB1A63}</x14:id>
        </ext>
      </extLst>
    </cfRule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{381FF755-64CA-46AC-B549-6C58880E4A5B}</x14:id>
        </ext>
      </extLst>
    </cfRule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{D498470E-3B9A-420D-8552-097241427C39}</x14:id>
        </ext>
      </extLst>
    </cfRule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{430500D0-A865-48F3-B5A3-128CD458B4BE}</x14:id>
        </ext>
      </extLst>
    </cfRule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{9FF2C7CC-6607-465D-A6FD-7C6F90B30D7E}</x14:id>
        </ext>
      </extLst>
    </cfRule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{E9E9BE91-CF82-49AD-8ADC-A37BC7EC3411}</x14:id>
        </ext>
      </extLst>
    </cfRule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{82E7BB43-85F7-4C85-8627-6B337C9EE3A1}</x14:id>
        </ext>
      </extLst>
    </cfRule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{D8FA6888-B3EA-4C81-914B-70942F27271F}</x14:id>
        </ext>
      </extLst>
    </cfRule>
    <cfRule type="dataBar" priority="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{EA925665-759B-4DDA-A256-10D3B2763E68}</x14:id>
        </ext>
      </extLst>
    </cfRule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{DFF0CD3C-DA9D-4B48-B5CC-71297EA19721}</x14:id>
        </ext>
      </extLst>
    </cfRule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{3DE2E4BB-B88F-4666-B764-1D117D8E0C56}</x14:id>
        </ext>
      </extLst>
    </cfRule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{15439C74-7042-4685-BA86-EDB8F935940F}</x14:id>
        </ext>
      </extLst>
    </cfRule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{8D052CD2-36BD-4ADE-8E4D-D337FCDA9556}</x14:id>
        </ext>
      </extLst>
    </cfRule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{9B4D303B-EDFC-4392-9690-EB66F715B7E9}</x14:id>
        </ext>
      </extLst>
    </cfRule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{EA503972-4D11-4B5A-A80B-A36B04968D43}</x14:id>
        </ext>
      </extLst>
    </cfRule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{DE4A5C7D-600A-4E98-922C-1AD9ECBC0B63}</x14:id>
        </ext>
      </extLst>
    </cfRule>
    <cfRule type="dataBar" priority="1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{B82FBE35-55E2-4FE0-8872-B1E26FBA4782}</x14:id>
        </ext>
      </extLst>
    </cfRule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{F9B04909-65CC-47FF-B468-A5B5362B95E9}</x14:id>
        </ext>
      </extLst>
    </cfRule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{2B8C43DE-6151-4585-B918-726969ADF3E5}</x14:id>
        </ext>
      </extLst>
    </cfRule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{DBC8FE89-7CEA-4CC6-8EBF-FCC8712DC5E6}</x14:id>
        </ext>
      </extLst>
    </cfRule>
  </conditionalFormatting>
  <conditionalFormatting sqref="O44">
    <cfRule type="dataBar" priority="4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{DDC29D23-1962-4FD1-9986-70736D88C1AB}</x14:id>
        </ext>
      </extLst>
    </cfRule>
    <cfRule type="dataBar" priority="4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{CADECE2C-53DE-48D9-A026-B53C3FEB574D}</x14:id>
        </ext>
      </extLst>
    </cfRule>
    <cfRule type="dataBar" priority="4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{D594754F-F4AD-4BD2-AF83-BE6E2B872684}</x14:id>
        </ext>
      </extLst>
    </cfRule>
    <cfRule type="dataBar" priority="4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{6CA057F4-96BD-45A7-9A02-A384BAD8B936}</x14:id>
        </ext>
      </extLst>
    </cfRule>
    <cfRule type="dataBar" priority="4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{D0760B00-B8B2-4D36-AF3D-0E788FFD3F55}</x14:id>
        </ext>
      </extLst>
    </cfRule>
    <cfRule type="dataBar" priority="4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{7918B931-47BB-49AE-B34E-707C76B50D6F}</x14:id>
        </ext>
      </extLst>
    </cfRule>
    <cfRule type="dataBar" priority="4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{231DDB6C-7834-4354-92C5-A7B2A2C7856F}</x14:id>
        </ext>
      </extLst>
    </cfRule>
    <cfRule type="dataBar" priority="4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{04803E91-609A-4B84-ADE4-707C2FF7DB84}</x14:id>
        </ext>
      </extLst>
    </cfRule>
    <cfRule type="dataBar" priority="4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{AD5CC6EB-51E3-49EB-A71B-3C7FFD2A6045}</x14:id>
        </ext>
      </extLst>
    </cfRule>
  </conditionalFormatting>
  <conditionalFormatting sqref="O45:O46 O4:O6 O8 O40:O41 O18 O20 O48:O50 O32 O30 O43 O22:O24 O26">
    <cfRule type="dataBar" priority="5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{4C5B3F15-D88F-48B9-B01F-0DD0F18D6690}</x14:id>
        </ext>
      </extLst>
    </cfRule>
  </conditionalFormatting>
  <conditionalFormatting sqref="O45:O46">
    <cfRule type="dataBar" priority="5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{5A44014F-59FB-4E22-A0E9-DB55C65D272A}</x14:id>
        </ext>
      </extLst>
    </cfRule>
    <cfRule type="dataBar" priority="5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{8D71C3AB-0606-4FA3-B9EC-32C816A7DF18}</x14:id>
        </ext>
      </extLst>
    </cfRule>
  </conditionalFormatting>
  <conditionalFormatting sqref="O47"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{5FBC18C9-5E52-411B-8A72-705795F4D9D0}</x14:id>
        </ext>
      </extLst>
    </cfRule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{9F0C2D27-D349-4ACF-80B9-6C0C48288A11}</x14:id>
        </ext>
      </extLst>
    </cfRule>
    <cfRule type="dataBar" priority="2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{EBB334A5-F4F7-4BCD-9D54-4FD32C8D0648}</x14:id>
        </ext>
      </extLst>
    </cfRule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{3E09D794-121B-4136-B8C8-960308EF6159}</x14:id>
        </ext>
      </extLst>
    </cfRule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{79A1B819-49E8-4B84-AC76-1388EB639DDE}</x14:id>
        </ext>
      </extLst>
    </cfRule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{B65671E8-0CD2-4300-BA9C-94347997D697}</x14:id>
        </ext>
      </extLst>
    </cfRule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{2024D900-7EAD-40F3-8B27-6923802AADB0}</x14:id>
        </ext>
      </extLst>
    </cfRule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{FF88B7A6-0AA1-4A09-9FCD-1020F80D9B29}</x14:id>
        </ext>
      </extLst>
    </cfRule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{24C37D35-0CEB-4F7C-8007-752E180DCE31}</x14:id>
        </ext>
      </extLst>
    </cfRule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{45C3FA58-375A-4295-9103-5A6C5FBDCE09}</x14:id>
        </ext>
      </extLst>
    </cfRule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{F9DC4F47-20A2-40A1-890F-9A97A536BB78}</x14:id>
        </ext>
      </extLst>
    </cfRule>
    <cfRule type="dataBar" priority="2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{36A615F2-187F-4650-B604-D9EEAECBFED6}</x14:id>
        </ext>
      </extLst>
    </cfRule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{02F27D7C-3B25-405A-AA20-C84FC510B83B}</x14:id>
        </ext>
      </extLst>
    </cfRule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{C9728F7D-673D-4A77-A753-BE05808A8A89}</x14:id>
        </ext>
      </extLst>
    </cfRule>
    <cfRule type="dataBar" priority="2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{F92C664E-9EC3-41FE-B35C-AE2A09E17192}</x14:id>
        </ext>
      </extLst>
    </cfRule>
    <cfRule type="dataBar" priority="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{24EDC711-1121-436E-9226-3E72CCE86209}</x14:id>
        </ext>
      </extLst>
    </cfRule>
    <cfRule type="dataBar" priority="2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{AD5C0479-50E9-467F-A1BE-977CED2A3EFA}</x14:id>
        </ext>
      </extLst>
    </cfRule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{7AAE038F-0BC9-4E08-9D8A-6FDC0C0394E6}</x14:id>
        </ext>
      </extLst>
    </cfRule>
    <cfRule type="dataBar" priority="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{F4558465-9014-41BC-8AAD-C5A34F7DC7A4}</x14:id>
        </ext>
      </extLst>
    </cfRule>
  </conditionalFormatting>
  <conditionalFormatting sqref="O48">
    <cfRule type="dataBar" priority="5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{890D3A76-6BB6-482A-9012-ED4C42D1933B}</x14:id>
        </ext>
      </extLst>
    </cfRule>
    <cfRule type="dataBar" priority="5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{37BF2DE8-0315-4237-890D-95581E884ABD}</x14:id>
        </ext>
      </extLst>
    </cfRule>
    <cfRule type="dataBar" priority="5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{BC636BE1-6137-42EF-A70B-E82A116CEC6F}</x14:id>
        </ext>
      </extLst>
    </cfRule>
    <cfRule type="dataBar" priority="5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{B94D4300-1678-4CF5-AF8D-361820E6E343}</x14:id>
        </ext>
      </extLst>
    </cfRule>
    <cfRule type="dataBar" priority="5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{49F4F587-EF1C-41D4-BA8A-527F29EEE7A4}</x14:id>
        </ext>
      </extLst>
    </cfRule>
    <cfRule type="dataBar" priority="5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{FEAE1E6C-7E79-4E93-977C-C234A8C5AD15}</x14:id>
        </ext>
      </extLst>
    </cfRule>
    <cfRule type="dataBar" priority="5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{39263C1E-5ED4-43F0-A07D-8429AC5025FA}</x14:id>
        </ext>
      </extLst>
    </cfRule>
    <cfRule type="dataBar" priority="5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{11BBCA71-51B5-4138-8790-8C11B9F5DB24}</x14:id>
        </ext>
      </extLst>
    </cfRule>
    <cfRule type="dataBar" priority="5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{62F3B23D-796D-4D2F-8F76-2D5CBF3DA893}</x14:id>
        </ext>
      </extLst>
    </cfRule>
  </conditionalFormatting>
  <conditionalFormatting sqref="O48:O50 O4:O10 O32:O37 O14:O15 O30 O43:O46 O17:O20 O22:O24 O26:O28 O39:O41">
    <cfRule type="dataBar" priority="2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{1331C9C4-7CEC-46E4-9EFD-2D89E2DD133D}</x14:id>
        </ext>
      </extLst>
    </cfRule>
  </conditionalFormatting>
  <conditionalFormatting sqref="O48:O50 O35:O37 O4:O10 O17:O18 O20 O32:O33 O14 O30 O43:O46 O22:O24 O26:O28 O39:O41"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{5959CBBC-AE50-4BAF-88A6-24475B00C8A2}</x14:id>
        </ext>
      </extLst>
    </cfRule>
  </conditionalFormatting>
  <conditionalFormatting sqref="O49:O50 O4:O6 O8 O45:O46 O40:O41 O18 O20 O32 O30 O43 O22:O24 O26">
    <cfRule type="dataBar" priority="5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{65996924-E11E-4F08-A761-1E40AAFC85D2}</x14:id>
        </ext>
      </extLst>
    </cfRule>
  </conditionalFormatting>
  <conditionalFormatting sqref="O49:O50 O4:O6 O8 O18 O45:O46 O40:O41 O20 O32 O30 O43">
    <cfRule type="dataBar" priority="5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{8543178F-D083-465C-9665-95131C679AD3}</x14:id>
        </ext>
      </extLst>
    </cfRule>
  </conditionalFormatting>
  <conditionalFormatting sqref="O49:O50 O30 O4:O6 O8 O45:O46 O40:O41 O18 O20 O32 O43 O22:O24 O26">
    <cfRule type="dataBar" priority="5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{5264E33E-2547-48BC-9348-33C3FE4248CC}</x14:id>
        </ext>
      </extLst>
    </cfRule>
  </conditionalFormatting>
  <conditionalFormatting sqref="O49:O50 O41 O30 O4:O6 O8 O18 O20 O32 O43 O22:O24 O26">
    <cfRule type="dataBar" priority="5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{F48A8FF5-8A8F-40A6-97A6-E8BC1594B900}</x14:id>
        </ext>
      </extLst>
    </cfRule>
  </conditionalFormatting>
  <conditionalFormatting sqref="O49:O50 O41 O30 O4:O6 O8 O45:O46 O18 O20 O32 O43 O22:O24 O26">
    <cfRule type="dataBar" priority="5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{CE94E338-8AEA-49F1-9680-CA92122C9677}</x14:id>
        </ext>
      </extLst>
    </cfRule>
  </conditionalFormatting>
  <conditionalFormatting sqref="O49:O50">
    <cfRule type="dataBar" priority="5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{A768A4D3-DD45-4498-9988-F7039E233430}</x14:id>
        </ext>
      </extLst>
    </cfRule>
    <cfRule type="dataBar" priority="5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{6BCB7FE6-2284-43FE-89B9-7518A776D2E2}</x14:id>
        </ext>
      </extLst>
    </cfRule>
  </conditionalFormatting>
  <conditionalFormatting sqref="O50">
    <cfRule type="dataBar" priority="5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{595AC6B0-4074-4627-9DB9-CE94F6E51F2E}</x14:id>
        </ext>
      </extLst>
    </cfRule>
  </conditionalFormatting>
  <conditionalFormatting sqref="O51">
    <cfRule type="dataBar" priority="5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{9C44069A-1C71-47C7-AA93-0EB9E7606E99}</x14:id>
        </ext>
      </extLst>
    </cfRule>
  </conditionalFormatting>
  <conditionalFormatting sqref="K4:K50">
    <cfRule type="iconSet" priority="559">
      <iconSet iconSet="3Arrows">
        <cfvo type="percent" val="0"/>
        <cfvo type="percent" val="33"/>
        <cfvo type="percent" val="67"/>
      </iconSet>
    </cfRule>
  </conditionalFormatting>
  <conditionalFormatting sqref="O4:O11 O14:O15 O17:O20 O22:O24 O26:O37 O39:O50">
    <cfRule type="dataBar" priority="5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{EF778231-A998-467D-9E57-7BD604CC0D9B}</x14:id>
        </ext>
      </extLst>
    </cfRule>
  </conditionalFormatting>
  <conditionalFormatting sqref="K12">
    <cfRule type="iconSet" priority="151">
      <iconSet iconSet="3Arrows">
        <cfvo type="percent" val="0"/>
        <cfvo type="percent" val="33"/>
        <cfvo type="percent" val="67"/>
      </iconSet>
    </cfRule>
    <cfRule type="iconSet" priority="155">
      <iconSet iconSet="3Arrows">
        <cfvo type="percent" val="0"/>
        <cfvo type="percent" val="33"/>
        <cfvo type="percent" val="67"/>
      </iconSet>
    </cfRule>
  </conditionalFormatting>
  <conditionalFormatting sqref="O12"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{EC22A428-A6AA-469B-B698-CFE0A79D88DD}</x14:id>
        </ext>
      </extLst>
    </cfRule>
  </conditionalFormatting>
  <conditionalFormatting sqref="O12">
    <cfRule type="dataBar" priority="1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{CB831ABF-9D6A-45F2-A1B5-04FB92352B0D}</x14:id>
        </ext>
      </extLst>
    </cfRule>
  </conditionalFormatting>
  <conditionalFormatting sqref="O12">
    <cfRule type="dataBar" priority="1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{41BD3CD5-7D8A-421F-A0DE-21ECDD86EFA6}</x14:id>
        </ext>
      </extLst>
    </cfRule>
    <cfRule type="dataBar" priority="1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{11C3B73F-BB9C-41A4-ABD0-308297D7325A}</x14:id>
        </ext>
      </extLst>
    </cfRule>
    <cfRule type="dataBar" priority="1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{A242EB76-DA73-4E03-B769-32826EACD3EF}</x14:id>
        </ext>
      </extLst>
    </cfRule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{05F6CE0D-65D6-4D5C-928B-BCC10F7ABAAA}</x14:id>
        </ext>
      </extLst>
    </cfRule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{EE097427-DA9D-4D61-A013-B3C9392BA172}</x14:id>
        </ext>
      </extLst>
    </cfRule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{0879C636-6FE9-48E8-9A44-562DEB562BEA}</x14:id>
        </ext>
      </extLst>
    </cfRule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{D439D5CE-A366-44AD-86AD-6AFF94617603}</x14:id>
        </ext>
      </extLst>
    </cfRule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{3C61CE2F-E54A-499D-A3EA-FAEAE7A0F908}</x14:id>
        </ext>
      </extLst>
    </cfRule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{B78B5553-4792-4A5C-8696-2DAB35BD3D7C}</x14:id>
        </ext>
      </extLst>
    </cfRule>
  </conditionalFormatting>
  <conditionalFormatting sqref="O12"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{34741AD0-E9F7-45B0-8672-12D03BD8FD81}</x14:id>
        </ext>
      </extLst>
    </cfRule>
  </conditionalFormatting>
  <conditionalFormatting sqref="O12"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{4B1890A4-650E-4D2E-9ECB-DC8F6C2AE163}</x14:id>
        </ext>
      </extLst>
    </cfRule>
  </conditionalFormatting>
  <conditionalFormatting sqref="O12"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{4783ECE6-7F32-4C25-B6C2-EAD6C61042FA}</x14:id>
        </ext>
      </extLst>
    </cfRule>
  </conditionalFormatting>
  <conditionalFormatting sqref="O12">
    <cfRule type="dataBar" priority="1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{D72455D2-DCCB-4130-B667-8A0AEA36D34F}</x14:id>
        </ext>
      </extLst>
    </cfRule>
  </conditionalFormatting>
  <conditionalFormatting sqref="O12"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{1083106F-FD90-404C-BB72-9BEC94EE976F}</x14:id>
        </ext>
      </extLst>
    </cfRule>
  </conditionalFormatting>
  <conditionalFormatting sqref="O12"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{3E9C5162-D260-473B-AA91-52F2055C74CD}</x14:id>
        </ext>
      </extLst>
    </cfRule>
  </conditionalFormatting>
  <conditionalFormatting sqref="O12">
    <cfRule type="dataBar" priority="1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{18611925-CF3B-42E4-A52B-BBE0F6FC5F28}</x14:id>
        </ext>
      </extLst>
    </cfRule>
  </conditionalFormatting>
  <conditionalFormatting sqref="O12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{6BB50EDA-6022-4588-A617-15BF8BFEEE3A}</x14:id>
        </ext>
      </extLst>
    </cfRule>
  </conditionalFormatting>
  <conditionalFormatting sqref="O12"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{1E28290C-5BCC-41FF-A345-66F882F70EA0}</x14:id>
        </ext>
      </extLst>
    </cfRule>
  </conditionalFormatting>
  <conditionalFormatting sqref="O12"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{EBD21026-640D-4774-AEB3-16BAA0DBA221}</x14:id>
        </ext>
      </extLst>
    </cfRule>
  </conditionalFormatting>
  <conditionalFormatting sqref="O12"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{22327C60-C895-44B0-BD0A-0657C7B7EE28}</x14:id>
        </ext>
      </extLst>
    </cfRule>
  </conditionalFormatting>
  <conditionalFormatting sqref="O12"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{34BD4624-3A9F-4C00-8F18-8318C3A2F737}</x14:id>
        </ext>
      </extLst>
    </cfRule>
  </conditionalFormatting>
  <conditionalFormatting sqref="O12"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{969E961A-836B-4043-B32A-3477A12302AC}</x14:id>
        </ext>
      </extLst>
    </cfRule>
  </conditionalFormatting>
  <conditionalFormatting sqref="K12">
    <cfRule type="iconSet" priority="168">
      <iconSet iconSet="3Arrows">
        <cfvo type="percent" val="0"/>
        <cfvo type="percent" val="33"/>
        <cfvo type="percent" val="67"/>
      </iconSet>
    </cfRule>
  </conditionalFormatting>
  <conditionalFormatting sqref="O12">
    <cfRule type="dataBar" priority="1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{21905726-04BC-4698-8F45-28CDAE0E1787}</x14:id>
        </ext>
      </extLst>
    </cfRule>
  </conditionalFormatting>
  <conditionalFormatting sqref="O13"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{5630B122-90EF-4C6F-A707-6E46FC469E2A}</x14:id>
        </ext>
      </extLst>
    </cfRule>
  </conditionalFormatting>
  <conditionalFormatting sqref="O13"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{85A5594A-B6DF-4B6C-9FF1-3EA1AD4D162C}</x14:id>
        </ext>
      </extLst>
    </cfRule>
  </conditionalFormatting>
  <conditionalFormatting sqref="O13"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{6A37CFD6-05CB-48D2-9BD5-8EF183EC2B2D}</x14:id>
        </ext>
      </extLst>
    </cfRule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{9C817EA2-CDB1-4492-841F-78F346480B9B}</x14:id>
        </ext>
      </extLst>
    </cfRule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{991B20B1-0E75-4363-AFF0-BE6A4FA35C74}</x14:id>
        </ext>
      </extLst>
    </cfRule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{9652D90C-E68B-45E6-8FB7-8669326147E5}</x14:id>
        </ext>
      </extLst>
    </cfRule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{3273D113-C574-4CB9-B6DD-C4278B58A4E6}</x14:id>
        </ext>
      </extLst>
    </cfRule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{4A906BCE-DD90-4B39-8BDB-70B3CF51D609}</x14:id>
        </ext>
      </extLst>
    </cfRule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{40518587-43CE-44C5-88E5-AF4A6BD1D30A}</x14:id>
        </ext>
      </extLst>
    </cfRule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{844B1E7C-6172-411B-A07B-6BF5028A6792}</x14:id>
        </ext>
      </extLst>
    </cfRule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{23DFBE7A-3D39-4DF4-9917-E75B48F18394}</x14:id>
        </ext>
      </extLst>
    </cfRule>
  </conditionalFormatting>
  <conditionalFormatting sqref="O13"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{CFE1314C-AD3D-40A1-92BD-C318711BE369}</x14:id>
        </ext>
      </extLst>
    </cfRule>
  </conditionalFormatting>
  <conditionalFormatting sqref="O13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{E5BA312B-ADEB-4601-B5B0-1F05937086F4}</x14:id>
        </ext>
      </extLst>
    </cfRule>
  </conditionalFormatting>
  <conditionalFormatting sqref="O13"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{DEA6FA12-AB17-4E6D-AAAF-053F173694AC}</x14:id>
        </ext>
      </extLst>
    </cfRule>
  </conditionalFormatting>
  <conditionalFormatting sqref="O13"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{D4E04691-BD2A-4BE9-A558-ABB86736487B}</x14:id>
        </ext>
      </extLst>
    </cfRule>
  </conditionalFormatting>
  <conditionalFormatting sqref="O13"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{30658F27-2576-475E-9B45-5F13C9E4041A}</x14:id>
        </ext>
      </extLst>
    </cfRule>
  </conditionalFormatting>
  <conditionalFormatting sqref="O13"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{367369B8-2820-4F19-8844-CA3D12ED4D62}</x14:id>
        </ext>
      </extLst>
    </cfRule>
  </conditionalFormatting>
  <conditionalFormatting sqref="O13"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{ECAA3CAE-50C9-4890-BDF2-DD5EB70C0463}</x14:id>
        </ext>
      </extLst>
    </cfRule>
  </conditionalFormatting>
  <conditionalFormatting sqref="O13"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{D0CEF2AE-6531-4C8F-AAF9-0B06E48D5676}</x14:id>
        </ext>
      </extLst>
    </cfRule>
  </conditionalFormatting>
  <conditionalFormatting sqref="O13"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{FE96F783-5602-404C-954D-45F4343E0880}</x14:id>
        </ext>
      </extLst>
    </cfRule>
  </conditionalFormatting>
  <conditionalFormatting sqref="O13"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{78910D88-B3CA-4254-AA43-E2E3F7817A09}</x14:id>
        </ext>
      </extLst>
    </cfRule>
  </conditionalFormatting>
  <conditionalFormatting sqref="O13"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{2079551B-EEF7-4B53-816A-20137E710DAB}</x14:id>
        </ext>
      </extLst>
    </cfRule>
  </conditionalFormatting>
  <conditionalFormatting sqref="O13"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{FC49A5B1-FF34-48CA-BD57-C23DEDE8E4BA}</x14:id>
        </ext>
      </extLst>
    </cfRule>
  </conditionalFormatting>
  <conditionalFormatting sqref="O13"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{B0DA677D-F956-4E12-B9CD-349209739FB9}</x14:id>
        </ext>
      </extLst>
    </cfRule>
  </conditionalFormatting>
  <conditionalFormatting sqref="O13"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{2293CB82-06BA-438B-BFE5-11886F04309F}</x14:id>
        </ext>
      </extLst>
    </cfRule>
  </conditionalFormatting>
  <conditionalFormatting sqref="K16">
    <cfRule type="iconSet" priority="98">
      <iconSet iconSet="3Arrows">
        <cfvo type="percent" val="0"/>
        <cfvo type="percent" val="33"/>
        <cfvo type="percent" val="67"/>
      </iconSet>
    </cfRule>
    <cfRule type="iconSet" priority="102">
      <iconSet iconSet="3Arrows">
        <cfvo type="percent" val="0"/>
        <cfvo type="percent" val="33"/>
        <cfvo type="percent" val="67"/>
      </iconSet>
    </cfRule>
  </conditionalFormatting>
  <conditionalFormatting sqref="O16"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{3D3D0C63-87DF-437F-A65B-A3422CA049A0}</x14:id>
        </ext>
      </extLst>
    </cfRule>
  </conditionalFormatting>
  <conditionalFormatting sqref="O16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{F48BBA05-2B14-4838-A72C-634462E3EABB}</x14:id>
        </ext>
      </extLst>
    </cfRule>
  </conditionalFormatting>
  <conditionalFormatting sqref="O16"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{F10DA9B7-A00B-4B05-87EF-EA419826FDEF}</x14:id>
        </ext>
      </extLst>
    </cfRule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{8AC1F812-8232-40F8-9374-335D275143BA}</x14:id>
        </ext>
      </extLst>
    </cfRule>
    <cfRule type="dataBar" priority="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{1EBAA04F-5D41-49F6-9065-1044D649E2F9}</x14:id>
        </ext>
      </extLst>
    </cfRule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{4E16E52E-2D57-48FF-AB63-1C1E06BA2B4C}</x14:id>
        </ext>
      </extLst>
    </cfRule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{312BF2A9-5ABD-4094-AD5B-1B94C4CF1FDE}</x14:id>
        </ext>
      </extLst>
    </cfRule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{A87069D5-FE23-44EC-9338-D26FFA7378B6}</x14:id>
        </ext>
      </extLst>
    </cfRule>
    <cfRule type="dataBar" priority="1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{7D2275B1-DE53-49F1-929D-8112224C9A1E}</x14:id>
        </ext>
      </extLst>
    </cfRule>
    <cfRule type="dataBar" priority="1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{0F581D7F-AEAE-4F9A-880C-085C0693480E}</x14:id>
        </ext>
      </extLst>
    </cfRule>
    <cfRule type="dataBar" priority="1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{67A550EA-EAE5-4C60-B262-EF193CC59E53}</x14:id>
        </ext>
      </extLst>
    </cfRule>
  </conditionalFormatting>
  <conditionalFormatting sqref="O16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{7FC5262C-A88A-424C-8E4C-5D227ABA43C6}</x14:id>
        </ext>
      </extLst>
    </cfRule>
  </conditionalFormatting>
  <conditionalFormatting sqref="O16">
    <cfRule type="dataBar" priority="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{CFDC92C5-BB27-46AA-8A40-ACA96F512B7D}</x14:id>
        </ext>
      </extLst>
    </cfRule>
  </conditionalFormatting>
  <conditionalFormatting sqref="O16">
    <cfRule type="dataBar" priority="1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{DA21F4FF-7215-426D-BEF3-9688854AAD16}</x14:id>
        </ext>
      </extLst>
    </cfRule>
  </conditionalFormatting>
  <conditionalFormatting sqref="O16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{6903A4CD-16DF-4DAA-AE2A-CCD62FAFA01E}</x14:id>
        </ext>
      </extLst>
    </cfRule>
  </conditionalFormatting>
  <conditionalFormatting sqref="O16"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{BE9C6717-D34B-4E1C-9903-2402348ED306}</x14:id>
        </ext>
      </extLst>
    </cfRule>
  </conditionalFormatting>
  <conditionalFormatting sqref="O16">
    <cfRule type="dataBar" priority="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{F2B75C58-7AFF-4951-999D-8815FC3B85D2}</x14:id>
        </ext>
      </extLst>
    </cfRule>
  </conditionalFormatting>
  <conditionalFormatting sqref="O16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{D13F69A6-1C95-4C42-B4F9-1B2A37F1DCCF}</x14:id>
        </ext>
      </extLst>
    </cfRule>
  </conditionalFormatting>
  <conditionalFormatting sqref="O16">
    <cfRule type="dataBar" priority="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{E4CB93D9-7B93-43DB-8552-CABC567A6BE5}</x14:id>
        </ext>
      </extLst>
    </cfRule>
  </conditionalFormatting>
  <conditionalFormatting sqref="O16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{879B4CDA-42B4-49A2-9809-8BE39A787EE5}</x14:id>
        </ext>
      </extLst>
    </cfRule>
  </conditionalFormatting>
  <conditionalFormatting sqref="O16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{DCDECB22-514C-4D69-8617-09E44FF708F4}</x14:id>
        </ext>
      </extLst>
    </cfRule>
  </conditionalFormatting>
  <conditionalFormatting sqref="O16">
    <cfRule type="dataBar" priority="1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{0F103BE5-C8C9-4F78-AE34-7E8671111C71}</x14:id>
        </ext>
      </extLst>
    </cfRule>
  </conditionalFormatting>
  <conditionalFormatting sqref="O16">
    <cfRule type="dataBar" priority="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{5167C6A4-312B-4AFB-8CA7-60AEB9EBBB2E}</x14:id>
        </ext>
      </extLst>
    </cfRule>
  </conditionalFormatting>
  <conditionalFormatting sqref="O16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{00DC2D32-1D0C-492C-B515-7E9BD1AD2153}</x14:id>
        </ext>
      </extLst>
    </cfRule>
  </conditionalFormatting>
  <conditionalFormatting sqref="K16">
    <cfRule type="iconSet" priority="115">
      <iconSet iconSet="3Arrows">
        <cfvo type="percent" val="0"/>
        <cfvo type="percent" val="33"/>
        <cfvo type="percent" val="67"/>
      </iconSet>
    </cfRule>
  </conditionalFormatting>
  <conditionalFormatting sqref="O16"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{F7C26044-1B19-4C90-A9DC-771800DF4460}</x14:id>
        </ext>
      </extLst>
    </cfRule>
  </conditionalFormatting>
  <conditionalFormatting sqref="K21">
    <cfRule type="iconSet" priority="70">
      <iconSet iconSet="3Arrows">
        <cfvo type="percent" val="0"/>
        <cfvo type="percent" val="33"/>
        <cfvo type="percent" val="67"/>
      </iconSet>
    </cfRule>
    <cfRule type="iconSet" priority="74">
      <iconSet iconSet="3Arrows">
        <cfvo type="percent" val="0"/>
        <cfvo type="percent" val="33"/>
        <cfvo type="percent" val="67"/>
      </iconSet>
    </cfRule>
  </conditionalFormatting>
  <conditionalFormatting sqref="O21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{152A12AF-FC32-4E2A-AF71-651B1D8EBB6F}</x14:id>
        </ext>
      </extLst>
    </cfRule>
  </conditionalFormatting>
  <conditionalFormatting sqref="O21">
    <cfRule type="dataBar" priority="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{84CD6FC0-D405-46AA-87A5-D66181F6FC22}</x14:id>
        </ext>
      </extLst>
    </cfRule>
  </conditionalFormatting>
  <conditionalFormatting sqref="O21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{AF29335D-1E70-41C8-85FE-10BBCB1A9CEB}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{22551D7A-4D60-4F2B-B0A0-D71BBBAC5CB1}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{43562288-BE48-4CB8-BB85-DAD41B0BE7C1}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{9E86D88F-1CFE-43EA-A3C1-9F8F8FD513B4}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{22D0D49D-8BA5-4B7C-9693-FD4D18A81E11}</x14:id>
        </ext>
      </extLst>
    </cfRule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{C128BD19-4C1E-4167-AC0D-553376A55B01}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{8B96BEEB-990C-481B-B6B2-B920DD064E9C}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{D16A052B-A57D-4E9B-8BE0-02D6A4835AA1}</x14:id>
        </ext>
      </extLst>
    </cfRule>
    <cfRule type="dataBar" priority="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{82F9D8F8-ECEF-454A-A933-830D8A9A2725}</x14:id>
        </ext>
      </extLst>
    </cfRule>
  </conditionalFormatting>
  <conditionalFormatting sqref="O21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{67D2A880-D56B-4C3E-847F-EA17DE2B2759}</x14:id>
        </ext>
      </extLst>
    </cfRule>
  </conditionalFormatting>
  <conditionalFormatting sqref="O21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{41A073D0-F3FC-4E6A-BBA5-F5C4A343341C}</x14:id>
        </ext>
      </extLst>
    </cfRule>
  </conditionalFormatting>
  <conditionalFormatting sqref="O21">
    <cfRule type="dataBar" priority="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{1C414242-3AD2-4DD6-8F75-28A2AE5C7A25}</x14:id>
        </ext>
      </extLst>
    </cfRule>
  </conditionalFormatting>
  <conditionalFormatting sqref="O21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{B046C127-4F2B-4167-859F-6662932FF585}</x14:id>
        </ext>
      </extLst>
    </cfRule>
  </conditionalFormatting>
  <conditionalFormatting sqref="O21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{D39481C3-23BC-4D6B-A4D6-E2C80EDCDE36}</x14:id>
        </ext>
      </extLst>
    </cfRule>
  </conditionalFormatting>
  <conditionalFormatting sqref="O21"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{C79D1910-3983-4FA8-AC22-BC9B978D17DD}</x14:id>
        </ext>
      </extLst>
    </cfRule>
  </conditionalFormatting>
  <conditionalFormatting sqref="O21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{A9127659-A757-40C2-8151-406A4CA5E773}</x14:id>
        </ext>
      </extLst>
    </cfRule>
  </conditionalFormatting>
  <conditionalFormatting sqref="O21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{4EE62671-A99A-4563-9383-B9F5AE1F7988}</x14:id>
        </ext>
      </extLst>
    </cfRule>
  </conditionalFormatting>
  <conditionalFormatting sqref="O21">
    <cfRule type="dataBar" priority="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{B2E02A3F-B988-4D5D-BD8B-38B265E12EA3}</x14:id>
        </ext>
      </extLst>
    </cfRule>
  </conditionalFormatting>
  <conditionalFormatting sqref="O21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{1D48474C-3C7A-4F8F-B1B2-6425ECBD8830}</x14:id>
        </ext>
      </extLst>
    </cfRule>
  </conditionalFormatting>
  <conditionalFormatting sqref="O21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{DA82843C-F7AD-4ED5-9E10-6A6914DCCD0B}</x14:id>
        </ext>
      </extLst>
    </cfRule>
  </conditionalFormatting>
  <conditionalFormatting sqref="O21"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{08FD3578-E030-4FA3-90F2-EFCD65D8813B}</x14:id>
        </ext>
      </extLst>
    </cfRule>
  </conditionalFormatting>
  <conditionalFormatting sqref="O21"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{EB66D14C-D635-41AB-B214-CA67BB9A03A5}</x14:id>
        </ext>
      </extLst>
    </cfRule>
  </conditionalFormatting>
  <conditionalFormatting sqref="K21">
    <cfRule type="iconSet" priority="87">
      <iconSet iconSet="3Arrows">
        <cfvo type="percent" val="0"/>
        <cfvo type="percent" val="33"/>
        <cfvo type="percent" val="67"/>
      </iconSet>
    </cfRule>
  </conditionalFormatting>
  <conditionalFormatting sqref="O21">
    <cfRule type="dataBar" priority="8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{FBD0AFD6-AB1F-4BAF-82D4-AE6FE04A7738}</x14:id>
        </ext>
      </extLst>
    </cfRule>
  </conditionalFormatting>
  <conditionalFormatting sqref="K25">
    <cfRule type="iconSet" priority="42">
      <iconSet iconSet="3Arrows">
        <cfvo type="percent" val="0"/>
        <cfvo type="percent" val="33"/>
        <cfvo type="percent" val="67"/>
      </iconSet>
    </cfRule>
    <cfRule type="iconSet" priority="46">
      <iconSet iconSet="3Arrows">
        <cfvo type="percent" val="0"/>
        <cfvo type="percent" val="33"/>
        <cfvo type="percent" val="67"/>
      </iconSet>
    </cfRule>
  </conditionalFormatting>
  <conditionalFormatting sqref="O25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{6D9B26EE-5C5B-46E7-BE43-23A113C5C14C}</x14:id>
        </ext>
      </extLst>
    </cfRule>
  </conditionalFormatting>
  <conditionalFormatting sqref="O25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{16151A7E-5EFC-4AD8-900D-BF73978C3690}</x14:id>
        </ext>
      </extLst>
    </cfRule>
  </conditionalFormatting>
  <conditionalFormatting sqref="O25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{2A1253C3-C6E0-4F20-B3BD-34B9A896A29F}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{82107008-F6DB-4A0D-A348-42899AA053D7}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{44684CFA-EDA5-4AF1-9189-75636BA0A607}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{08BA1895-F998-4E59-B3D5-59FAC19CCB86}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{1DB942BC-2BFE-4AFF-9BCC-B568179DA108}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{D492D216-39CA-40EA-B7AA-AEEDA22A2447}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{0CC1887D-3225-4D10-BD80-9EA656C3D0E8}</x14:id>
        </ext>
      </extLst>
    </cfRule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{727F79D8-FEDC-447B-91A5-85ABF614ACE2}</x14:id>
        </ext>
      </extLst>
    </cfRule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{E4C9896F-FE08-4CC7-926C-CDCB8B39EEB9}</x14:id>
        </ext>
      </extLst>
    </cfRule>
  </conditionalFormatting>
  <conditionalFormatting sqref="O25"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{1527D28E-6DEE-4C3D-B11B-52135D841EC0}</x14:id>
        </ext>
      </extLst>
    </cfRule>
  </conditionalFormatting>
  <conditionalFormatting sqref="O25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{2B86779B-45FC-4AEC-AE22-ACF238D61644}</x14:id>
        </ext>
      </extLst>
    </cfRule>
  </conditionalFormatting>
  <conditionalFormatting sqref="O25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{237D01FA-A5E7-4842-BA4B-BC93E85E4E65}</x14:id>
        </ext>
      </extLst>
    </cfRule>
  </conditionalFormatting>
  <conditionalFormatting sqref="O25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{5F3546A1-7C76-4A82-A5F7-8930A2E0B5C5}</x14:id>
        </ext>
      </extLst>
    </cfRule>
  </conditionalFormatting>
  <conditionalFormatting sqref="O2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{C2194D0F-833B-419E-9C7C-1E0A49E4DDE5}</x14:id>
        </ext>
      </extLst>
    </cfRule>
  </conditionalFormatting>
  <conditionalFormatting sqref="O25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{F61AE7B2-47E1-44F2-A3BC-5178E11292A6}</x14:id>
        </ext>
      </extLst>
    </cfRule>
  </conditionalFormatting>
  <conditionalFormatting sqref="O25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{A72BADEA-5F6F-4C41-A0AA-907CAA3A3876}</x14:id>
        </ext>
      </extLst>
    </cfRule>
  </conditionalFormatting>
  <conditionalFormatting sqref="O25"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{1AC9BA79-A8D0-4264-82CA-2C560B277E90}</x14:id>
        </ext>
      </extLst>
    </cfRule>
  </conditionalFormatting>
  <conditionalFormatting sqref="O25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{661C585C-499D-4572-ABBE-AC6F93E7C620}</x14:id>
        </ext>
      </extLst>
    </cfRule>
  </conditionalFormatting>
  <conditionalFormatting sqref="O25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{C0FD5E60-DB6A-45BA-8E05-ED921A73F6E5}</x14:id>
        </ext>
      </extLst>
    </cfRule>
  </conditionalFormatting>
  <conditionalFormatting sqref="O25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{A8F45F7E-D5FD-4399-A5B3-3A507049B8C6}</x14:id>
        </ext>
      </extLst>
    </cfRule>
  </conditionalFormatting>
  <conditionalFormatting sqref="O25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{F0A2180D-7B9F-46DE-B866-3C898826EE42}</x14:id>
        </ext>
      </extLst>
    </cfRule>
  </conditionalFormatting>
  <conditionalFormatting sqref="O25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{81A65886-4A31-43FD-8959-C6187572C36A}</x14:id>
        </ext>
      </extLst>
    </cfRule>
  </conditionalFormatting>
  <conditionalFormatting sqref="K25">
    <cfRule type="iconSet" priority="59">
      <iconSet iconSet="3Arrows">
        <cfvo type="percent" val="0"/>
        <cfvo type="percent" val="33"/>
        <cfvo type="percent" val="67"/>
      </iconSet>
    </cfRule>
  </conditionalFormatting>
  <conditionalFormatting sqref="O25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{9CFD12E4-713D-401D-8142-DF13FB0AB18B}</x14:id>
        </ext>
      </extLst>
    </cfRule>
  </conditionalFormatting>
  <conditionalFormatting sqref="K38">
    <cfRule type="iconSet" priority="14">
      <iconSet iconSet="3Arrows">
        <cfvo type="percent" val="0"/>
        <cfvo type="percent" val="33"/>
        <cfvo type="percent" val="67"/>
      </iconSet>
    </cfRule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O38"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{6D973F39-2B19-40AB-9267-C8D45EEBBF51}</x14:id>
        </ext>
      </extLst>
    </cfRule>
  </conditionalFormatting>
  <conditionalFormatting sqref="O38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{ED6D0A8E-7802-467B-87F2-FDF0D99B577B}</x14:id>
        </ext>
      </extLst>
    </cfRule>
  </conditionalFormatting>
  <conditionalFormatting sqref="O38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{0A8B2C9A-9EB3-4DA9-A5D5-FE02B481FEBA}</x14:id>
        </ext>
      </extLst>
    </cfRule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{07B09434-DE2E-40AF-972F-DCB789E39DC3}</x14:id>
        </ext>
      </extLst>
    </cfRule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{05A75744-AB74-4389-AC57-8D13BEE94D2B}</x14:id>
        </ext>
      </extLst>
    </cfRule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{EED2A7E4-F69C-4A0C-8974-2C56B9084CFA}</x14:id>
        </ext>
      </extLst>
    </cfRule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{0B6D3F32-D2BE-4037-9F60-0F1152D70696}</x14:id>
        </ext>
      </extLst>
    </cfRule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{657DE345-8FFF-479C-87B5-AC677E86E503}</x14:id>
        </ext>
      </extLst>
    </cfRule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{F16ABDF2-0B20-46EE-B282-8655C3971B98}</x14:id>
        </ext>
      </extLst>
    </cfRule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{C2F4139A-7623-4671-9D47-160053E6B277}</x14:id>
        </ext>
      </extLst>
    </cfRule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{15E3A761-8F96-444E-BDD4-FFE4DB6DB7A3}</x14:id>
        </ext>
      </extLst>
    </cfRule>
  </conditionalFormatting>
  <conditionalFormatting sqref="O38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{7028E6DA-5D71-4F06-B800-1BA8D02644CE}</x14:id>
        </ext>
      </extLst>
    </cfRule>
  </conditionalFormatting>
  <conditionalFormatting sqref="O3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{FBCFADCD-4B7F-43E0-8DFF-ECAB920DDECB}</x14:id>
        </ext>
      </extLst>
    </cfRule>
  </conditionalFormatting>
  <conditionalFormatting sqref="O38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{261D8554-4A4D-463D-8DC2-718A9E0CA402}</x14:id>
        </ext>
      </extLst>
    </cfRule>
  </conditionalFormatting>
  <conditionalFormatting sqref="O38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{E0B80D21-40FA-4CF6-8899-7E9BABA6CD90}</x14:id>
        </ext>
      </extLst>
    </cfRule>
  </conditionalFormatting>
  <conditionalFormatting sqref="O3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{ADD572DE-1DE0-4F32-9A61-967A0B034E3B}</x14:id>
        </ext>
      </extLst>
    </cfRule>
  </conditionalFormatting>
  <conditionalFormatting sqref="O38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{5C212CA7-6C96-48C5-ABA7-5F839A625968}</x14:id>
        </ext>
      </extLst>
    </cfRule>
  </conditionalFormatting>
  <conditionalFormatting sqref="O38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{47678187-9C60-4358-823D-1C2F6AEAC49B}</x14:id>
        </ext>
      </extLst>
    </cfRule>
  </conditionalFormatting>
  <conditionalFormatting sqref="O3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{82A48FA1-5133-4D79-A88F-9B425EA14ACE}</x14:id>
        </ext>
      </extLst>
    </cfRule>
  </conditionalFormatting>
  <conditionalFormatting sqref="O38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{E5BF1C60-E62A-4E3D-A8E3-46A9C2BFDFE0}</x14:id>
        </ext>
      </extLst>
    </cfRule>
  </conditionalFormatting>
  <conditionalFormatting sqref="O38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{FCEFF45F-CD68-45AD-B114-2F534FC27136}</x14:id>
        </ext>
      </extLst>
    </cfRule>
  </conditionalFormatting>
  <conditionalFormatting sqref="O38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{C5E8BD82-B76B-4BA1-9C0F-CA1F5FE97799}</x14:id>
        </ext>
      </extLst>
    </cfRule>
  </conditionalFormatting>
  <conditionalFormatting sqref="O3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{EEA48422-3377-40D7-94F0-5D04D21D2B55}</x14:id>
        </ext>
      </extLst>
    </cfRule>
  </conditionalFormatting>
  <conditionalFormatting sqref="O3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{38EC16C8-1042-4C6A-87A1-909491B2757C}</x14:id>
        </ext>
      </extLst>
    </cfRule>
  </conditionalFormatting>
  <conditionalFormatting sqref="K38">
    <cfRule type="iconSet" priority="31">
      <iconSet iconSet="3Arrows">
        <cfvo type="percent" val="0"/>
        <cfvo type="percent" val="33"/>
        <cfvo type="percent" val="67"/>
      </iconSet>
    </cfRule>
  </conditionalFormatting>
  <conditionalFormatting sqref="O38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{97392EF2-EFAB-4F16-86D6-140A3251DD7A}</x14:id>
        </ext>
      </extLst>
    </cfRule>
  </conditionalFormatting>
  <conditionalFormatting sqref="K13">
    <cfRule type="iconSet" priority="2">
      <iconSet iconSet="3Arrows">
        <cfvo type="percent" val="0"/>
        <cfvo type="percent" val="33"/>
        <cfvo type="percent" val="67"/>
      </iconSet>
    </cfRule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K13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O4:O5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{2EA8E15D-FF5F-46B7-8ABA-FC4DD9E70370}</x14:id>
        </ext>
      </extLst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42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4607259-AF48-415F-AF0E-C896CA4D23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</xm:sqref>
        </x14:conditionalFormatting>
        <x14:conditionalFormatting xmlns:xm="http://schemas.microsoft.com/office/excel/2006/main">
          <x14:cfRule type="dataBar" id="{F0EC1940-F0CF-45B4-AD60-16D342C907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O30:O37 O4:O10 O14:O15 O43:O50 O17:O20 O22:O24 O26:O28 O39:O41</xm:sqref>
        </x14:conditionalFormatting>
        <x14:conditionalFormatting xmlns:xm="http://schemas.microsoft.com/office/excel/2006/main">
          <x14:cfRule type="dataBar" id="{A39F274E-4B8C-4EE3-8467-1318C69AC4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O30:O37 O4:O11 O43:O50 O14:O15 O17:O20 O22:O24 O26:O28 O39:O41</xm:sqref>
        </x14:conditionalFormatting>
        <x14:conditionalFormatting xmlns:xm="http://schemas.microsoft.com/office/excel/2006/main">
          <x14:cfRule type="dataBar" id="{7A3BF2E5-A25A-46C8-92D1-0AA39362AD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4AA2A5-4DF4-49D2-88E3-08B4FD8366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3E3C43-638B-4080-8FE4-F5A54B39BB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0994AFF-3630-4601-8B30-E0EE85B055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2DE892-8396-4B5D-9136-86EA6AB837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920E086-346A-454B-B0F4-35FA71B9C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344E655-5ACB-4AA1-B5A8-39D336492E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291B43-0AA1-4E6D-B00F-50FC86C24F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76F9A16-E4F3-4422-8E0F-7CCC3C8CAE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O7</xm:sqref>
        </x14:conditionalFormatting>
        <x14:conditionalFormatting xmlns:xm="http://schemas.microsoft.com/office/excel/2006/main">
          <x14:cfRule type="dataBar" id="{AF9EFAB8-D880-4BB6-A86E-15725F9D9C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6F0BF54-7F97-46BD-890C-0688C0F4A0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DC34B4-2781-426F-AA76-3C3EA90527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923715-0DEF-4D05-B7F6-C5DEA50B79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EC2343-D80D-49E8-B1E2-DD9D513A14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2722E7-E892-4875-9F16-2565D96006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36029C9-503F-4FFE-952A-B28B6BA181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E1A7A7-8961-4DC4-99BA-28D6A0F132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178540-F8DC-4350-A316-92491AFD65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O9</xm:sqref>
        </x14:conditionalFormatting>
        <x14:conditionalFormatting xmlns:xm="http://schemas.microsoft.com/office/excel/2006/main">
          <x14:cfRule type="dataBar" id="{E993C595-7B5F-45E4-9A61-BF01155004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69E3F8-0416-40C7-B0CF-8FD206751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D8C4A1-73F9-49D4-B141-B4E8798749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F48A7C-809E-4562-9C3E-D87C59C90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566039-700E-4257-BD94-969E9868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85F82C-45EF-4C28-8DDC-5757F2E208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C5D92E-54F3-4E0F-9A3D-6775BAAA3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507BB95-D0CB-4D6A-B8B1-6668107264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079B8C1-70FB-4FF8-850E-44CB1D9CB9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562AD0F-54BC-4E47-A8A6-DA4913C37B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 O14</xm:sqref>
        </x14:conditionalFormatting>
        <x14:conditionalFormatting xmlns:xm="http://schemas.microsoft.com/office/excel/2006/main">
          <x14:cfRule type="dataBar" id="{CA391565-D90D-4C1B-9B4D-07B960BF2E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C87BD5-B18C-4AA2-BC26-A923605C9C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C2DF84-15C5-47C4-B365-7873966058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02EDCB6-FBDE-478F-A5EB-BA8AE9B0E8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0BEA1AF-8C9E-49D1-B328-BB68219198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7C48221-F85C-4129-A8A3-A6248BF68D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0E434E-F4F0-49C3-B5BB-A0C6C68BFB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07632F-5C83-4CF5-8F2B-15F2E6F936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4F50C64-9975-4868-846C-A587BD617F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7D354A0-28A7-4DBF-87DB-EE7B36A6FD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611F13-B14E-4A51-88FA-B664AB716B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18C8FF4-D567-4D3B-8B0C-63DF0F628E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989967C-777C-48F5-9DE1-953FA850AA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DFD4439-E4B2-4E3C-91E5-EFA5A42AC8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7F3690-6E0F-4E65-B583-6EDF6701EC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C278E1-935A-4604-AC24-DC4E72D7F0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7B0F47C-2E3F-40A6-B462-0A611860A1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994EF41-33A3-408C-A85C-FEF7A4898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94EFD1-163D-43CD-90F8-1765E07E23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F7D5787-1B4F-45A8-BDBB-33C763145E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45683C8-0770-4227-9C21-5369357055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08C8029-0A86-4F53-AA3D-83B4B01E84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C17D59E-C0EF-485E-AABA-6C1F2BA0E8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O11</xm:sqref>
        </x14:conditionalFormatting>
        <x14:conditionalFormatting xmlns:xm="http://schemas.microsoft.com/office/excel/2006/main">
          <x14:cfRule type="dataBar" id="{19F2116F-ACAC-4F90-ADFC-C316B22E9F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4928C4-7B93-4EA0-AE93-7DD08C2BAE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3127CA8-AC36-4515-AD68-C693699DB5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7D82DCF-844F-4251-B648-267098F234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B781F5B-0864-46B0-A06A-69F3293B2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65AFACA-2C23-40A0-B879-30CABCF039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905FD0-F687-49F0-A274-86E6413D70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3A250F-1DD0-4CBD-8EB6-0A414226B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4399FE7-026C-400E-9C43-CFA9604B64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AE50AB-6516-43A5-AE72-6C5A1F7936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826F89-BB49-44C2-A2E2-4269F4B52C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315CC35-9084-40F7-BBDD-88CFBEF0F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FE94CD-CDDD-4268-B435-42B8752328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1F95995-8031-4C42-BB06-53850D9A7A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0957D60-DBC3-44DD-8924-E284B1399F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B0D413-D19C-43A2-ACB8-B28BD5C823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043CA75-6FBA-4C85-AA1B-96F56EA3C0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3D92D2-2829-462B-8ACB-69C0A9687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88B8853-AC9A-4912-9E6D-4B500AD98A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</xm:sqref>
        </x14:conditionalFormatting>
        <x14:conditionalFormatting xmlns:xm="http://schemas.microsoft.com/office/excel/2006/main">
          <x14:cfRule type="dataBar" id="{F2E8F114-8FB6-4EF3-9CBB-A9A2033829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998B51-68BB-486A-84DC-4F0F74F249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B2C305-C1DA-4585-8E89-A61EA5C7D5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0F3CA9-9255-45B6-831C-532FDF6634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7D63AF-E7F7-4277-B475-9DAD4570AC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F30057D-25A8-4FFE-9877-1D0071B2C4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D82F40-1886-407B-B59F-FC6B5F3D7D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2ED794-78E5-455F-BC05-E98DA7AE26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CC8649C-F646-4C1B-9E4C-DA18FD570E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D7E2BF-6CC8-4362-8499-01A11E228C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F01C6F-FBCF-4F24-90FA-2FFADC2B1A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25B303C-27F5-41E5-A39E-79D7F917E1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B4916F-1A2B-44EF-9B76-4BF3F1E83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A10518-5E90-445B-AABA-C3D9F6C6FA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5D509A-D399-45F9-870E-DB857070CC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B628C0-2BB3-4556-8F2B-887DBE6487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34740DB5-EF75-444F-A376-7C3FF0DAC5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A6CD50-7431-48F8-A882-96C03DAF28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450F9A2-E134-471C-9B34-EE401958ED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28F652-1943-4B45-8015-2317D556CF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D48A7A9-2317-4FD0-9694-35255A2649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8C0758-BFA8-497F-927D-C59621E06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2D84B8-44E7-4F39-99BF-6DB703F74A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B5EE836-380B-4D4B-B483-C894CA84AC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E66391-0A7C-4F6A-9823-5E6DE7DF67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F15341-D264-4370-8887-A8BB40603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7F4A07-3F98-4F1F-9FEC-79246DC85B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19330A-3860-4FC6-BCF4-F85FEB93CD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C08FB1-2607-402A-9F42-0D42ED0129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618A44-D11C-4ED3-9E62-89BE21D509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82F56C-4808-4E56-9A0E-4FBE1B336A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312825-79A9-4F46-8C11-56BD78E211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C5986E4-F178-47D1-A426-655793FFCB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4FC315-04F1-4491-9B26-48E0F01162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</xm:sqref>
        </x14:conditionalFormatting>
        <x14:conditionalFormatting xmlns:xm="http://schemas.microsoft.com/office/excel/2006/main">
          <x14:cfRule type="dataBar" id="{30187077-F693-4A93-8876-8376E50269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3A189BE-921D-4A50-88A2-B9292172FA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9256E7-DAF5-4328-916C-033C5DA616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8644B97-6E56-4577-9151-42711971B3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471EB4B-878A-42AD-8593-5F604F1BF3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540D57-8D3B-48F5-BDD8-BF5756F587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DA21417-1777-4352-94FF-9AD9B6518C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56A44C-9733-4BFE-A30E-FAC9CB1BB4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131CC1-22B4-4FC5-ADF7-2223B70B40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2117ACC-A220-4F4A-A90A-D62070D343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2316F7-494B-4E47-AC93-E811320ADA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16F677-D6E2-41D4-9AD7-C415FFBDD1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1AEBE7B-89CE-42CF-B2B5-E64BB59B0C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52002A0-0E45-4C67-80CC-37E45EF2EE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EF0240-0F96-4CE7-8B72-8DEAA60C39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310A31-A3EC-4235-A91F-DBDC33BFE3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O27:O28</xm:sqref>
        </x14:conditionalFormatting>
        <x14:conditionalFormatting xmlns:xm="http://schemas.microsoft.com/office/excel/2006/main">
          <x14:cfRule type="dataBar" id="{8F353616-2418-4136-BD8A-4C467D918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E7C3B3A-2265-4730-B972-DBD4793AD7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D239F8-2AF9-4F88-89B1-66DABE7747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E5F5BC0-D216-4ED4-A1B1-8C68B02737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87DC2A-CB74-421F-992F-E2A6E3D50A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8BFE25-D7A9-4455-A1D2-E482BED96C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4EA43D-1E97-457E-A3C0-36D197F9AB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6E27CB0-BDBD-4976-91DA-0B6431AA65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F7E855-86C0-4AD4-8CC4-82A095C0FA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89B344-35C0-4D37-98B8-3E34FA068C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6B3CE1-501E-4A22-B137-AA51358DF8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E30665-F906-46AA-BE7F-7031A5A76D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449CC7B-EDEA-4D7D-9CBA-44CC1F573B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11743A3-3A07-43F4-8EF5-4E6849379D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7B6114A-4E3B-43F6-B296-F416ECB839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A28E0FA-16A3-4027-BD08-CE3A6465B4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BBDF3F-DFF8-48CB-BE59-8C20A97ECA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3F3EE32-2F79-4E3B-A9DB-3B24EAB23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A3324A-5250-4E16-83A7-092E93E7B1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8DB2A07-7920-4B67-BAF2-C32E217743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79D3F0-0658-488B-889B-BED5EE3C3C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F47DCB-2ED3-44E9-90A5-9ADCD3C6D5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32744E-1B32-4385-9971-19309E8212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0098807C-CEFD-4822-92C7-06B16C3F9E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81E78D2-426A-4B62-BE89-D83B2A9329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DFA066-E560-478C-968E-73A15470E6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51555E-8E91-4A71-B9BB-2013E2A0A8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CB0C9A-A6A5-4E10-82C5-BDF81A1A37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4F8E8D-247E-40C5-A567-2E4E14AE62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4E96E9-2601-4F2D-B756-DFF5F00352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44141E1-FB61-4DE0-8934-611E9F0745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683D28-362F-4F66-9DC7-2FCA9BF931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4F0A228-AB8B-4160-8362-858A096664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00D0EC0-3343-41B7-8728-392FDA7EB0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A2ECA8-BF46-411C-B9E4-904E27C162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A5560A-BB77-44C2-AEF1-767975BFD1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AEBFB9-CA0A-4181-A18D-9E4FA74615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21F4A33-01F2-4C70-BA49-9D99C360FC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C36A7E-B9CF-4C78-AAED-2C6F6F3EAC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E8313BF-ED93-4118-B8D5-BC27052F84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BD20A12-E002-422E-B4AC-9D1C2E5079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17E397C-B68F-45C9-BF2A-33C5F3017B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B0219D-7695-446C-BEC0-E376245A50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BCE57C7F-6EAE-4DCD-9DF8-CA9122138D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O32:O37 O4:O10 O14:O15 O30 O43:O50 O17:O20 O22:O24 O26:O28 O39:O41</xm:sqref>
        </x14:conditionalFormatting>
        <x14:conditionalFormatting xmlns:xm="http://schemas.microsoft.com/office/excel/2006/main">
          <x14:cfRule type="dataBar" id="{952D525A-C9C5-4DE9-91E5-2E23FB2B6A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652CDDD-ADF7-4726-BDB9-D4B583873A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90BAB2-30E7-4377-A6F2-0B6567D7A4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52BF00-466A-456A-A0F1-2493D7176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E217E84-6CD0-4FB9-BE79-00EFDEC437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2EE7AAD-E1CC-4679-9D61-35B5E6BEC4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C2EC34-664E-497B-A43E-9218AD67A7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9FF3EB-7496-48A0-A7DC-2DE0641DDB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0AB8911-A5DF-40F2-836F-ADDF51B26D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142877-45E6-417E-A9C1-17100AFD8C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C244FF-6F1D-4E29-8615-36015AF9F4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CD6D21F-023A-4731-90B3-D761AA04DB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</xm:sqref>
        </x14:conditionalFormatting>
        <x14:conditionalFormatting xmlns:xm="http://schemas.microsoft.com/office/excel/2006/main">
          <x14:cfRule type="dataBar" id="{2765B4C4-4F62-4015-AE9F-C654CE1718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4B01558-541E-438A-A607-5BB8962B59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FDA3ED-ED96-4726-B869-7874314C28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10E528-0A8A-488D-BC80-8EE65D8B0B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F977DB1-A019-4ADB-9203-39412C1EB3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DCF673-C1E9-4D1B-A059-103B5E553D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B396F65-3020-46A5-95AD-C8D857F0DF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9A5200-E805-4EE4-8625-8410D38BDD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5D916AC-6416-4D24-AA99-1475353DC9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941979-1EA2-497F-98C3-E9C70B88A1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002C20-D97D-4777-96B2-EE7C1E492D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5BCB20-D377-4DAB-BBEF-4C13478891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4A75BD8-64C9-42B3-BBF3-69FA491581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A918B3-6E78-41DD-9C5D-EAC0B6594D6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6F173C-8FCC-414E-918B-4E4CDAA131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6D239C-F799-4531-AFF9-700C727048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96EFDD-D367-4E42-BEA5-C43A926D61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744FEC-D282-454A-A2DF-A11212374A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6910302-28FB-498E-9E8E-F0D47E4401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C8323DF-6633-4DAC-B9EB-1F54AA159A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O34</xm:sqref>
        </x14:conditionalFormatting>
        <x14:conditionalFormatting xmlns:xm="http://schemas.microsoft.com/office/excel/2006/main">
          <x14:cfRule type="dataBar" id="{993B8923-439B-468A-BF31-DBD9BD2149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DF9A7BC-5F63-41EA-82F4-35B70F2F40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E7523D6-01E0-4387-9613-E486213A93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97585F-A60A-4F7A-9E0C-9520961D5F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8B7E0F-0982-411F-8868-FA128A196E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1F67FC-7D1F-4BEC-A749-2A87A310F6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317FAE-827B-40CE-BB02-02621EC043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9D9E79-2F23-45D3-AECE-0B9278A400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EAFD7C4-82B3-4315-A0C4-80879D0B09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O35</xm:sqref>
        </x14:conditionalFormatting>
        <x14:conditionalFormatting xmlns:xm="http://schemas.microsoft.com/office/excel/2006/main">
          <x14:cfRule type="dataBar" id="{7761AC76-67AC-48FA-A852-3743C19E4A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E136C1-3F80-40B3-B385-9C0830FD66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5339071-E3C6-47C2-AC4A-B399EEB977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A611AC5-D844-4BF8-A07F-B5DAE24C37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EF1BF75-6531-40F2-88BB-042115A5ED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E347ADA-F6D9-45A5-85AA-A9EF2A6839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19F311F-90D9-4331-93B6-5AA056424A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C2AF44-CE8F-45CC-AEE8-D45AC48C18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529C3D-1C39-496D-B21D-0AF044546C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320C2D-9F2B-45A6-AB49-EB0597D203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C2356E-8CCA-4EB4-B1CA-CA1E7A9FCF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3481D38-2782-4545-9C17-B4F606C1A1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B168E2C-F144-4F70-874A-E968C22E1F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O36</xm:sqref>
        </x14:conditionalFormatting>
        <x14:conditionalFormatting xmlns:xm="http://schemas.microsoft.com/office/excel/2006/main">
          <x14:cfRule type="dataBar" id="{EA3E64AF-1BAB-4C3F-83DC-2D35F212B0A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5A6DEC-E1E5-4882-8DB4-6673C1BD3C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93B5A6-8A95-4C4E-9760-FF8F9BCBBD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2336A04-6E07-4C60-BB26-C51CCAC39E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8E64A76-32D1-4EC9-A617-C2FB3B1B22A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D0E9F2-6D08-4579-BBF8-0307DC3BE5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CB421B-66F0-4090-8674-6F6D59B958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041C59F-D2BB-4528-AA77-61494F71F8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25A5178-CEBA-400A-AFEE-9B3FC8D9FD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DF08CD-AE78-459F-A04A-5F9BABB565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8BFBF30-F167-4F2A-9ACA-4C6E68E6EE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10336E1-5578-44B0-8B94-9304242302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123AC8-DB19-4714-88F7-2E6BCFC00B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02569388-6F9D-4D5A-9C15-BAFF0E7A5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7C61A38-B63A-4376-BC12-648893A555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9D7EE48-73DF-41BA-B33E-5BE5FB4B61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121996-71F0-44DB-BBA8-EA08CF274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27CD15-9E3C-4AB4-B1A4-1D13881E4C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84AACD2-EFB0-4C53-8FE3-D2E5E02607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8F78F7-8EEE-4402-978C-8A5DA655CD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3AE8A17-85C9-4ACE-855A-4557D2FCDC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343FB46-91B4-4332-992E-1E9D9407E8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AECDBB-E403-439F-B408-DA2ABC1221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C0911FF-E174-423E-B28F-F73EB28A1C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7A18CA-ABC7-44F8-8259-21DCEF4C7C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35855AF-884D-4BAF-BFB5-CC67BBE13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55C6D2-FD99-4FF6-BF6D-51D951D6FB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BC94299-0DD6-46B1-BE5C-3F3CFCF3C6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92906CE-33C8-435B-88E6-2CAA2DD0D2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0EB108-B2B5-4EBF-BECB-A875627F17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341D398C-8F5E-4DB7-B542-C2BD68417A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CEBA2A5-145E-4265-86D6-1D46532702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8F2B5CD-5C02-4382-B96C-FB496751949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</xm:sqref>
        </x14:conditionalFormatting>
        <x14:conditionalFormatting xmlns:xm="http://schemas.microsoft.com/office/excel/2006/main">
          <x14:cfRule type="dataBar" id="{A8F88441-C41D-41F3-B980-6342DF3C99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O40:O41 O4:O10 O17:O18 O35:O37 O20 O48:O50 O32:O33 O14 O30 O43:O46 O22:O24 O26:O28</xm:sqref>
        </x14:conditionalFormatting>
        <x14:conditionalFormatting xmlns:xm="http://schemas.microsoft.com/office/excel/2006/main">
          <x14:cfRule type="dataBar" id="{C74A63E8-66EE-4F81-958F-AF352F71BE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O40:O41 O4:O10 O18 O35 O20 O48:O50 O32:O33 O14 O30 O43:O46 O22:O24 O26</xm:sqref>
        </x14:conditionalFormatting>
        <x14:conditionalFormatting xmlns:xm="http://schemas.microsoft.com/office/excel/2006/main">
          <x14:cfRule type="dataBar" id="{CF7102F7-821D-41C4-82AB-1E32F3D144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O40:O41 O18 O20 O35 O4:O9 O48:O50 O32 O30 O43:O46 O22:O24 O26</xm:sqref>
        </x14:conditionalFormatting>
        <x14:conditionalFormatting xmlns:xm="http://schemas.microsoft.com/office/excel/2006/main">
          <x14:cfRule type="dataBar" id="{74FFD584-EAFC-402D-9A49-4E63A56F73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O40:O41 O20 O18 O35 O4:O10 O48:O50 O32 O14 O30 O43:O46 O22:O24 O26</xm:sqref>
        </x14:conditionalFormatting>
        <x14:conditionalFormatting xmlns:xm="http://schemas.microsoft.com/office/excel/2006/main">
          <x14:cfRule type="dataBar" id="{6957AE00-1C19-419A-9B7C-C36F76496A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O40:O41 O4:O10 O17:O18 O35:O37 O20 O48:O50 O32:O33 O14 O30 O43:O46 O22:O24 O26</xm:sqref>
        </x14:conditionalFormatting>
        <x14:conditionalFormatting xmlns:xm="http://schemas.microsoft.com/office/excel/2006/main">
          <x14:cfRule type="dataBar" id="{C2363415-F18E-4BD7-B66C-B6043E7DFC5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O40:O41 O4:O10 O18 O35:O37 O20 O48:O50 O32:O33 O14 O30 O43:O46 O22:O24 O26</xm:sqref>
        </x14:conditionalFormatting>
        <x14:conditionalFormatting xmlns:xm="http://schemas.microsoft.com/office/excel/2006/main">
          <x14:cfRule type="dataBar" id="{6BC8AA66-5C66-4A86-8573-EA1C4C373B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O40:O41 O18 O4:O10 O35:O37 O20 O48:O50 O32:O33 O14 O30 O43:O46 O22:O24 O26</xm:sqref>
        </x14:conditionalFormatting>
        <x14:conditionalFormatting xmlns:xm="http://schemas.microsoft.com/office/excel/2006/main">
          <x14:cfRule type="dataBar" id="{2BA8306C-1FF2-4319-B98C-4DC15B78CC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O40:O41 O18 O4:O10 O35:O37 O20 O48:O51 O32:O33 O14 O30 O43:O46 O22:O24 O26</xm:sqref>
        </x14:conditionalFormatting>
        <x14:conditionalFormatting xmlns:xm="http://schemas.microsoft.com/office/excel/2006/main">
          <x14:cfRule type="dataBar" id="{73734480-10B9-41A5-A650-CBDCF85CA1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O40:O41 O35 O4:O10 O18 O20 O48:O50 O32 O14 O30 O43:O46 O22:O24 O26</xm:sqref>
        </x14:conditionalFormatting>
        <x14:conditionalFormatting xmlns:xm="http://schemas.microsoft.com/office/excel/2006/main">
          <x14:cfRule type="dataBar" id="{0EB78078-61F9-4CAD-AC39-5BB257D66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O40:O41 O35 O18 O4:O10 O20 O48:O50 O32 O14 O30 O43:O46 O22:O24 O26</xm:sqref>
        </x14:conditionalFormatting>
        <x14:conditionalFormatting xmlns:xm="http://schemas.microsoft.com/office/excel/2006/main">
          <x14:cfRule type="dataBar" id="{00DEC112-7795-460F-9874-8E39437EA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O41 O49 O30 O5:O6 O8 O18 O20 O32 O43 O22:O24 O26</xm:sqref>
        </x14:conditionalFormatting>
        <x14:conditionalFormatting xmlns:xm="http://schemas.microsoft.com/office/excel/2006/main">
          <x14:cfRule type="dataBar" id="{B21FF0EF-A8BF-4A57-99E1-E7891C9C8A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8A9C426-6282-4834-BA19-5C814A90AB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F5C54B-915B-4C93-A640-AE28DBAB1A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81FF755-64CA-46AC-B549-6C58880E4A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498470E-3B9A-420D-8552-097241427C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30500D0-A865-48F3-B5A3-128CD458B4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FF2C7CC-6607-465D-A6FD-7C6F90B30D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E9BE91-CF82-49AD-8ADC-A37BC7EC34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E7BB43-85F7-4C85-8627-6B337C9EE3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FA6888-B3EA-4C81-914B-70942F2727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925665-759B-4DDA-A256-10D3B2763E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F0CD3C-DA9D-4B48-B5CC-71297EA19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E2E4BB-B88F-4666-B764-1D117D8E0C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439C74-7042-4685-BA86-EDB8F93594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D052CD2-36BD-4ADE-8E4D-D337FCDA95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B4D303B-EDFC-4392-9690-EB66F715B7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503972-4D11-4B5A-A80B-A36B04968D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E4A5C7D-600A-4E98-922C-1AD9ECBC0B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82FBE35-55E2-4FE0-8872-B1E26FBA47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9B04909-65CC-47FF-B468-A5B5362B95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8C43DE-6151-4585-B918-726969ADF3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BC8FE89-7CEA-4CC6-8EBF-FCC8712DC5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O42</xm:sqref>
        </x14:conditionalFormatting>
        <x14:conditionalFormatting xmlns:xm="http://schemas.microsoft.com/office/excel/2006/main">
          <x14:cfRule type="dataBar" id="{DDC29D23-1962-4FD1-9986-70736D88C1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ADECE2C-53DE-48D9-A026-B53C3FEB574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594754F-F4AD-4BD2-AF83-BE6E2B8726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CA057F4-96BD-45A7-9A02-A384BAD8B9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0760B00-B8B2-4D36-AF3D-0E788FFD3F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918B931-47BB-49AE-B34E-707C76B50D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31DDB6C-7834-4354-92C5-A7B2A2C785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4803E91-609A-4B84-ADE4-707C2FF7DB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5CC6EB-51E3-49EB-A71B-3C7FFD2A60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O44</xm:sqref>
        </x14:conditionalFormatting>
        <x14:conditionalFormatting xmlns:xm="http://schemas.microsoft.com/office/excel/2006/main">
          <x14:cfRule type="dataBar" id="{4C5B3F15-D88F-48B9-B01F-0DD0F18D66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O45:O46 O4:O6 O8 O40:O41 O18 O20 O48:O50 O32 O30 O43 O22:O24 O26</xm:sqref>
        </x14:conditionalFormatting>
        <x14:conditionalFormatting xmlns:xm="http://schemas.microsoft.com/office/excel/2006/main">
          <x14:cfRule type="dataBar" id="{5A44014F-59FB-4E22-A0E9-DB55C65D27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D71C3AB-0606-4FA3-B9EC-32C816A7DF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O45:O46</xm:sqref>
        </x14:conditionalFormatting>
        <x14:conditionalFormatting xmlns:xm="http://schemas.microsoft.com/office/excel/2006/main">
          <x14:cfRule type="dataBar" id="{5FBC18C9-5E52-411B-8A72-705795F4D9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F0C2D27-D349-4ACF-80B9-6C0C48288A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BB334A5-F4F7-4BCD-9D54-4FD32C8D064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09D794-121B-4136-B8C8-960308EF61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9A1B819-49E8-4B84-AC76-1388EB639D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65671E8-0CD2-4300-BA9C-94347997D6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024D900-7EAD-40F3-8B27-6923802AAD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F88B7A6-0AA1-4A09-9FCD-1020F80D9B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C37D35-0CEB-4F7C-8007-752E180DCE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5C3FA58-375A-4295-9103-5A6C5FBDCE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9DC4F47-20A2-40A1-890F-9A97A536BB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6A615F2-187F-4650-B604-D9EEAECBFE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2F27D7C-3B25-405A-AA20-C84FC510B8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9728F7D-673D-4A77-A753-BE05808A8A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92C664E-9EC3-41FE-B35C-AE2A09E171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4EDC711-1121-436E-9226-3E72CCE862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D5C0479-50E9-467F-A1BE-977CED2A3E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AE038F-0BC9-4E08-9D8A-6FDC0C039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4558465-9014-41BC-8AAD-C5A34F7DC7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O47</xm:sqref>
        </x14:conditionalFormatting>
        <x14:conditionalFormatting xmlns:xm="http://schemas.microsoft.com/office/excel/2006/main">
          <x14:cfRule type="dataBar" id="{890D3A76-6BB6-482A-9012-ED4C42D193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BF2DE8-0315-4237-890D-95581E884A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636BE1-6137-42EF-A70B-E82A116CEC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94D4300-1678-4CF5-AF8D-361820E6E3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F4F587-EF1C-41D4-BA8A-527F29EEE7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EAE1E6C-7E79-4E93-977C-C234A8C5AD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263C1E-5ED4-43F0-A07D-8429AC5025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BBCA71-51B5-4138-8790-8C11B9F5DB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2F3B23D-796D-4D2F-8F76-2D5CBF3DA8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O48</xm:sqref>
        </x14:conditionalFormatting>
        <x14:conditionalFormatting xmlns:xm="http://schemas.microsoft.com/office/excel/2006/main">
          <x14:cfRule type="dataBar" id="{1331C9C4-7CEC-46E4-9EFD-2D89E2DD13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O48:O50 O4:O10 O32:O37 O14:O15 O30 O43:O46 O17:O20 O22:O24 O26:O28 O39:O41</xm:sqref>
        </x14:conditionalFormatting>
        <x14:conditionalFormatting xmlns:xm="http://schemas.microsoft.com/office/excel/2006/main">
          <x14:cfRule type="dataBar" id="{5959CBBC-AE50-4BAF-88A6-24475B00C8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O48:O50 O35:O37 O4:O10 O17:O18 O20 O32:O33 O14 O30 O43:O46 O22:O24 O26:O28 O39:O41</xm:sqref>
        </x14:conditionalFormatting>
        <x14:conditionalFormatting xmlns:xm="http://schemas.microsoft.com/office/excel/2006/main">
          <x14:cfRule type="dataBar" id="{65996924-E11E-4F08-A761-1E40AAFC85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O49:O50 O4:O6 O8 O45:O46 O40:O41 O18 O20 O32 O30 O43 O22:O24 O26</xm:sqref>
        </x14:conditionalFormatting>
        <x14:conditionalFormatting xmlns:xm="http://schemas.microsoft.com/office/excel/2006/main">
          <x14:cfRule type="dataBar" id="{8543178F-D083-465C-9665-95131C679A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O49:O50 O4:O6 O8 O18 O45:O46 O40:O41 O20 O32 O30 O43</xm:sqref>
        </x14:conditionalFormatting>
        <x14:conditionalFormatting xmlns:xm="http://schemas.microsoft.com/office/excel/2006/main">
          <x14:cfRule type="dataBar" id="{5264E33E-2547-48BC-9348-33C3FE4248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O49:O50 O30 O4:O6 O8 O45:O46 O40:O41 O18 O20 O32 O43 O22:O24 O26</xm:sqref>
        </x14:conditionalFormatting>
        <x14:conditionalFormatting xmlns:xm="http://schemas.microsoft.com/office/excel/2006/main">
          <x14:cfRule type="dataBar" id="{F48A8FF5-8A8F-40A6-97A6-E8BC1594B9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O49:O50 O41 O30 O4:O6 O8 O18 O20 O32 O43 O22:O24 O26</xm:sqref>
        </x14:conditionalFormatting>
        <x14:conditionalFormatting xmlns:xm="http://schemas.microsoft.com/office/excel/2006/main">
          <x14:cfRule type="dataBar" id="{CE94E338-8AEA-49F1-9680-CA92122C96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O49:O50 O41 O30 O4:O6 O8 O45:O46 O18 O20 O32 O43 O22:O24 O26</xm:sqref>
        </x14:conditionalFormatting>
        <x14:conditionalFormatting xmlns:xm="http://schemas.microsoft.com/office/excel/2006/main">
          <x14:cfRule type="dataBar" id="{A768A4D3-DD45-4498-9988-F7039E2334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BCB7FE6-2284-43FE-89B9-7518A776D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O49:O50</xm:sqref>
        </x14:conditionalFormatting>
        <x14:conditionalFormatting xmlns:xm="http://schemas.microsoft.com/office/excel/2006/main">
          <x14:cfRule type="dataBar" id="{595AC6B0-4074-4627-9DB9-CE94F6E51F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O50</xm:sqref>
        </x14:conditionalFormatting>
        <x14:conditionalFormatting xmlns:xm="http://schemas.microsoft.com/office/excel/2006/main">
          <x14:cfRule type="dataBar" id="{9C44069A-1C71-47C7-AA93-0EB9E7606E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O51</xm:sqref>
        </x14:conditionalFormatting>
        <x14:conditionalFormatting xmlns:xm="http://schemas.microsoft.com/office/excel/2006/main">
          <x14:cfRule type="dataBar" id="{EF778231-A998-467D-9E57-7BD604CC0D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O4:O11 O14:O15 O17:O20 O22:O24 O26:O37 O39:O50</xm:sqref>
        </x14:conditionalFormatting>
        <x14:conditionalFormatting xmlns:xm="http://schemas.microsoft.com/office/excel/2006/main">
          <x14:cfRule type="dataBar" id="{EC22A428-A6AA-469B-B698-CFE0A79D88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CB831ABF-9D6A-45F2-A1B5-04FB92352B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1BD3CD5-7D8A-421F-A0DE-21ECDD86EF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C3B73F-BB9C-41A4-ABD0-308297D732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42EB76-DA73-4E03-B769-32826EACD3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F6CE0D-65D6-4D5C-928B-BCC10F7ABA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097427-DA9D-4D61-A013-B3C9392BA17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79C636-6FE9-48E8-9A44-562DEB562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439D5CE-A366-44AD-86AD-6AFF946176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C61CE2F-E54A-499D-A3EA-FAEAE7A0F9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78B5553-4792-4A5C-8696-2DAB35BD3D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4741AD0-E9F7-45B0-8672-12D03BD8FD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B1890A4-650E-4D2E-9ECB-DC8F6C2AE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4783ECE6-7F32-4C25-B6C2-EAD6C61042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D72455D2-DCCB-4130-B667-8A0AEA36D34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083106F-FD90-404C-BB72-9BEC94EE97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E9C5162-D260-473B-AA91-52F2055C74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8611925-CF3B-42E4-A52B-BBE0F6FC5F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6BB50EDA-6022-4588-A617-15BF8BFEEE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1E28290C-5BCC-41FF-A345-66F882F70E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EBD21026-640D-4774-AEB3-16BAA0DBA2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2327C60-C895-44B0-BD0A-0657C7B7EE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34BD4624-3A9F-4C00-8F18-8318C3A2F7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969E961A-836B-4043-B32A-3477A12302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21905726-04BC-4698-8F45-28CDAE0E17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O12</xm:sqref>
        </x14:conditionalFormatting>
        <x14:conditionalFormatting xmlns:xm="http://schemas.microsoft.com/office/excel/2006/main">
          <x14:cfRule type="dataBar" id="{5630B122-90EF-4C6F-A707-6E46FC469E2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5A5594A-B6DF-4B6C-9FF1-3EA1AD4D16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6A37CFD6-05CB-48D2-9BD5-8EF183EC2B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C817EA2-CDB1-4492-841F-78F346480B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91B20B1-0E75-4363-AFF0-BE6A4FA35C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52D90C-E68B-45E6-8FB7-8669326147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73D113-C574-4CB9-B6DD-C4278B58A4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906BCE-DD90-4B39-8BDB-70B3CF51D6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0518587-43CE-44C5-88E5-AF4A6BD1D3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44B1E7C-6172-411B-A07B-6BF5028A6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3DFBE7A-3D39-4DF4-9917-E75B48F183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CFE1314C-AD3D-40A1-92BD-C318711BE3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5BA312B-ADEB-4601-B5B0-1F0593708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DEA6FA12-AB17-4E6D-AAAF-053F173694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D4E04691-BD2A-4BE9-A558-ABB8673648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0658F27-2576-475E-9B45-5F13C9E404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67369B8-2820-4F19-8844-CA3D12ED4D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ECAA3CAE-50C9-4890-BDF2-DD5EB70C04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D0CEF2AE-6531-4C8F-AAF9-0B06E48D56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E96F783-5602-404C-954D-45F4343E088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78910D88-B3CA-4254-AA43-E2E3F7817A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079551B-EEF7-4B53-816A-20137E710D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FC49A5B1-FF34-48CA-BD57-C23DEDE8E4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B0DA677D-F956-4E12-B9CD-349209739F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2293CB82-06BA-438B-BFE5-11886F0430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3D3D0C63-87DF-437F-A65B-A3422CA04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48BBA05-2B14-4838-A72C-634462E3EA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10DA9B7-A00B-4B05-87EF-EA419826FD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AC1F812-8232-40F8-9374-335D275143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EBAA04F-5D41-49F6-9065-1044D649E2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E16E52E-2D57-48FF-AB63-1C1E06BA2B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2BF2A9-5ABD-4094-AD5B-1B94C4CF1F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87069D5-FE23-44EC-9338-D26FFA7378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D2275B1-DE53-49F1-929D-8112224C9A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581D7F-AEAE-4F9A-880C-085C06934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7A550EA-EAE5-4C60-B262-EF193CC59E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7FC5262C-A88A-424C-8E4C-5D227ABA43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CFDC92C5-BB27-46AA-8A40-ACA96F512B7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DA21F4FF-7215-426D-BEF3-9688854AAD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6903A4CD-16DF-4DAA-AE2A-CCD62FAFA0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BE9C6717-D34B-4E1C-9903-2402348ED3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2B75C58-7AFF-4951-999D-8815FC3B85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D13F69A6-1C95-4C42-B4F9-1B2A37F1DC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E4CB93D9-7B93-43DB-8552-CABC567A6B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879B4CDA-42B4-49A2-9809-8BE39A787E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DCDECB22-514C-4D69-8617-09E44FF708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0F103BE5-C8C9-4F78-AE34-7E8671111C7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5167C6A4-312B-4AFB-8CA7-60AEB9EBBB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00DC2D32-1D0C-492C-B515-7E9BD1AD21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F7C26044-1B19-4C90-A9DC-771800DF44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152A12AF-FC32-4E2A-AF71-651B1D8EB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84CD6FC0-D405-46AA-87A5-D66181F6FC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AF29335D-1E70-41C8-85FE-10BBCB1A9C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551D7A-4D60-4F2B-B0A0-D71BBBAC5C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3562288-BE48-4CB8-BB85-DAD41B0BE7C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E86D88F-1CFE-43EA-A3C1-9F8F8FD513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D0D49D-8BA5-4B7C-9693-FD4D18A81E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128BD19-4C1E-4167-AC0D-553376A55B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96BEEB-990C-481B-B6B2-B920DD064E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16A052B-A57D-4E9B-8BE0-02D6A4835A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F9D8F8-ECEF-454A-A933-830D8A9A27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7D2A880-D56B-4C3E-847F-EA17DE2B27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1A073D0-F3FC-4E6A-BBA5-F5C4A34334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C414242-3AD2-4DD6-8F75-28A2AE5C7A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046C127-4F2B-4167-859F-6662932FF5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39481C3-23BC-4D6B-A4D6-E2C80EDCDE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C79D1910-3983-4FA8-AC22-BC9B978D17D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A9127659-A757-40C2-8151-406A4CA5E7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4EE62671-A99A-4563-9383-B9F5AE1F79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B2E02A3F-B988-4D5D-BD8B-38B265E12E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1D48474C-3C7A-4F8F-B1B2-6425ECBD883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DA82843C-F7AD-4ED5-9E10-6A6914DCCD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08FD3578-E030-4FA3-90F2-EFCD65D881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EB66D14C-D635-41AB-B214-CA67BB9A03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FBD0AFD6-AB1F-4BAF-82D4-AE6FE04A7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O21</xm:sqref>
        </x14:conditionalFormatting>
        <x14:conditionalFormatting xmlns:xm="http://schemas.microsoft.com/office/excel/2006/main">
          <x14:cfRule type="dataBar" id="{6D9B26EE-5C5B-46E7-BE43-23A113C5C1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6151A7E-5EFC-4AD8-900D-BF73978C36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2A1253C3-C6E0-4F20-B3BD-34B9A896A2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107008-F6DB-4A0D-A348-42899AA053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4684CFA-EDA5-4AF1-9189-75636BA0A6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BA1895-F998-4E59-B3D5-59FAC19CCB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DB942BC-2BFE-4AFF-9BCC-B568179DA10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492D216-39CA-40EA-B7AA-AEEDA22A24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C1887D-3225-4D10-BD80-9EA656C3D0E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27F79D8-FEDC-447B-91A5-85ABF614AC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4C9896F-FE08-4CC7-926C-CDCB8B39EE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527D28E-6DEE-4C3D-B11B-52135D841E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2B86779B-45FC-4AEC-AE22-ACF238D616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237D01FA-A5E7-4842-BA4B-BC93E85E4E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5F3546A1-7C76-4A82-A5F7-8930A2E0B5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2194D0F-833B-419E-9C7C-1E0A49E4D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F61AE7B2-47E1-44F2-A3BC-5178E11292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A72BADEA-5F6F-4C41-A0AA-907CAA3A38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1AC9BA79-A8D0-4264-82CA-2C560B277E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661C585C-499D-4572-ABBE-AC6F93E7C6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C0FD5E60-DB6A-45BA-8E05-ED921A73F6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A8F45F7E-D5FD-4399-A5B3-3A507049B8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F0A2180D-7B9F-46DE-B866-3C898826EE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81A65886-4A31-43FD-8959-C6187572C36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9CFD12E4-713D-401D-8142-DF13FB0AB18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O25</xm:sqref>
        </x14:conditionalFormatting>
        <x14:conditionalFormatting xmlns:xm="http://schemas.microsoft.com/office/excel/2006/main">
          <x14:cfRule type="dataBar" id="{6D973F39-2B19-40AB-9267-C8D45EEBBF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ED6D0A8E-7802-467B-87F2-FDF0D99B57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0A8B2C9A-9EB3-4DA9-A5D5-FE02B481FE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7B09434-DE2E-40AF-972F-DCB789E39D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5A75744-AB74-4389-AC57-8D13BEE94D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D2A7E4-F69C-4A0C-8974-2C56B9084C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6D3F32-D2BE-4037-9F60-0F1152D70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7DE345-8FFF-479C-87B5-AC677E86E5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16ABDF2-0B20-46EE-B282-8655C3971B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2F4139A-7623-4671-9D47-160053E6B2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5E3A761-8F96-444E-BDD4-FFE4DB6DB7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7028E6DA-5D71-4F06-B800-1BA8D02644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FBCFADCD-4B7F-43E0-8DFF-ECAB920DDEC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261D8554-4A4D-463D-8DC2-718A9E0CA4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E0B80D21-40FA-4CF6-8899-7E9BABA6CD9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ADD572DE-1DE0-4F32-9A61-967A0B034E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5C212CA7-6C96-48C5-ABA7-5F839A6259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47678187-9C60-4358-823D-1C2F6AEAC4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82A48FA1-5133-4D79-A88F-9B425EA14A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E5BF1C60-E62A-4E3D-A8E3-46A9C2BFDF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FCEFF45F-CD68-45AD-B114-2F534FC271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C5E8BD82-B76B-4BA1-9C0F-CA1F5FE977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EEA48422-3377-40D7-94F0-5D04D21D2B5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38EC16C8-1042-4C6A-87A1-909491B2757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97392EF2-EFAB-4F16-86D6-140A3251DD7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2EA8E15D-FF5F-46B7-8ABA-FC4DD9E70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AA11-7369-4438-AFBA-B9E89A2B34CB}">
  <sheetPr>
    <tabColor rgb="FF00B050"/>
    <pageSetUpPr fitToPage="1"/>
  </sheetPr>
  <dimension ref="A1:O51"/>
  <sheetViews>
    <sheetView showGridLines="0" tabSelected="1" view="pageBreakPreview" zoomScale="85" zoomScaleNormal="85" zoomScaleSheetLayoutView="85" workbookViewId="0">
      <selection activeCell="K4" sqref="K4"/>
    </sheetView>
  </sheetViews>
  <sheetFormatPr baseColWidth="10" defaultColWidth="10.85546875" defaultRowHeight="14.25" x14ac:dyDescent="0.2"/>
  <cols>
    <col min="1" max="1" width="4.140625" style="54" customWidth="1"/>
    <col min="2" max="2" width="14.42578125" style="55" customWidth="1"/>
    <col min="3" max="3" width="55" style="4" bestFit="1" customWidth="1"/>
    <col min="4" max="4" width="15.140625" style="1" bestFit="1" customWidth="1"/>
    <col min="5" max="5" width="8.28515625" style="1" bestFit="1" customWidth="1"/>
    <col min="6" max="6" width="15.28515625" style="4" bestFit="1" customWidth="1"/>
    <col min="7" max="7" width="15.7109375" style="41" customWidth="1"/>
    <col min="8" max="8" width="14.42578125" style="5" bestFit="1" customWidth="1"/>
    <col min="9" max="9" width="12.140625" style="4" bestFit="1" customWidth="1"/>
    <col min="10" max="10" width="14.42578125" style="1" bestFit="1" customWidth="1"/>
    <col min="11" max="11" width="15.140625" style="1" bestFit="1" customWidth="1"/>
    <col min="12" max="12" width="10.7109375" style="1" bestFit="1" customWidth="1"/>
    <col min="13" max="13" width="10.7109375" style="1" customWidth="1"/>
    <col min="14" max="14" width="10.7109375" style="6" customWidth="1"/>
    <col min="15" max="15" width="10.7109375" style="7" customWidth="1"/>
    <col min="16" max="16" width="11.5703125" style="4" bestFit="1" customWidth="1"/>
    <col min="17" max="17" width="15.42578125" style="4" bestFit="1" customWidth="1"/>
    <col min="18" max="18" width="3.5703125" style="4" bestFit="1" customWidth="1"/>
    <col min="19" max="19" width="20.140625" style="4" bestFit="1" customWidth="1"/>
    <col min="20" max="20" width="16.42578125" style="4" bestFit="1" customWidth="1"/>
    <col min="21" max="16384" width="10.85546875" style="4"/>
  </cols>
  <sheetData>
    <row r="1" spans="1:15" ht="24" thickBot="1" x14ac:dyDescent="0.4">
      <c r="A1" s="8" t="s">
        <v>69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24" thickBot="1" x14ac:dyDescent="0.4">
      <c r="A2" s="9" t="s">
        <v>68</v>
      </c>
      <c r="B2" s="9"/>
      <c r="C2" s="9"/>
      <c r="D2" s="9"/>
      <c r="E2" s="10"/>
      <c r="G2" s="11" t="s">
        <v>1</v>
      </c>
      <c r="H2" s="52">
        <v>31</v>
      </c>
      <c r="I2" s="13" t="s">
        <v>2</v>
      </c>
      <c r="J2" s="14">
        <v>17.2532</v>
      </c>
    </row>
    <row r="3" spans="1:15" ht="25.5" x14ac:dyDescent="0.2">
      <c r="A3" s="22" t="s">
        <v>3</v>
      </c>
      <c r="B3" s="19" t="s">
        <v>4</v>
      </c>
      <c r="C3" s="18" t="s">
        <v>5</v>
      </c>
      <c r="D3" s="18" t="s">
        <v>6</v>
      </c>
      <c r="E3" s="18" t="s">
        <v>7</v>
      </c>
      <c r="F3" s="18" t="s">
        <v>8</v>
      </c>
      <c r="G3" s="53" t="s">
        <v>9</v>
      </c>
      <c r="H3" s="21" t="s">
        <v>10</v>
      </c>
      <c r="I3" s="22" t="s">
        <v>11</v>
      </c>
      <c r="J3" s="22" t="s">
        <v>12</v>
      </c>
      <c r="K3" s="23" t="s">
        <v>13</v>
      </c>
      <c r="L3" s="23" t="s">
        <v>41</v>
      </c>
      <c r="M3" s="23" t="s">
        <v>42</v>
      </c>
      <c r="N3" s="24" t="s">
        <v>14</v>
      </c>
      <c r="O3" s="25" t="s">
        <v>15</v>
      </c>
    </row>
    <row r="4" spans="1:15" ht="15" x14ac:dyDescent="0.2">
      <c r="A4" s="54">
        <v>1</v>
      </c>
      <c r="C4" s="3" t="s">
        <v>25</v>
      </c>
      <c r="D4" s="1" t="s">
        <v>59</v>
      </c>
      <c r="E4" s="1">
        <v>2</v>
      </c>
      <c r="F4" s="56">
        <v>4931245</v>
      </c>
      <c r="G4" s="57">
        <f t="shared" ref="G4:G47" si="0">F4/E4/H$2</f>
        <v>79536.209677419349</v>
      </c>
      <c r="H4" s="26">
        <v>266452.81</v>
      </c>
      <c r="I4" s="28">
        <f t="shared" ref="I4:I47" si="1">H4/E4/H$2</f>
        <v>4297.6259677419357</v>
      </c>
      <c r="J4" s="29">
        <f t="shared" ref="J4:J47" si="2">I4/G4</f>
        <v>5.4033577727328502E-2</v>
      </c>
      <c r="K4" s="30" t="e">
        <f>(VLOOKUP(C4,$C$4:$J$47,5,0)-VLOOKUP(C4,#REF!,5,0))/VLOOKUP(C4,#REF!,5,0)</f>
        <v>#REF!</v>
      </c>
      <c r="L4" s="48">
        <v>613483</v>
      </c>
      <c r="M4" s="48">
        <f t="shared" ref="M4:M47" si="3">L4/E4/H$2</f>
        <v>9894.8870967741932</v>
      </c>
      <c r="N4" s="31">
        <v>0</v>
      </c>
      <c r="O4" s="32">
        <f t="shared" ref="O4:O47" si="4">I4-N4</f>
        <v>4297.6259677419357</v>
      </c>
    </row>
    <row r="5" spans="1:15" ht="15" x14ac:dyDescent="0.2">
      <c r="A5" s="54">
        <v>2</v>
      </c>
      <c r="C5" s="3" t="s">
        <v>70</v>
      </c>
      <c r="D5" s="1" t="s">
        <v>59</v>
      </c>
      <c r="E5" s="1">
        <v>4</v>
      </c>
      <c r="F5" s="56">
        <v>9401997.75</v>
      </c>
      <c r="G5" s="57">
        <f t="shared" si="0"/>
        <v>75822.5625</v>
      </c>
      <c r="H5" s="26">
        <v>365188.23</v>
      </c>
      <c r="I5" s="28">
        <f t="shared" si="1"/>
        <v>2945.0663709677419</v>
      </c>
      <c r="J5" s="29">
        <f t="shared" si="2"/>
        <v>3.8841556838279397E-2</v>
      </c>
      <c r="K5" s="30" t="e">
        <f>(VLOOKUP(C5,$C$4:$J$47,5,0)-VLOOKUP(C5,#REF!,5,0))/VLOOKUP(C5,#REF!,5,0)</f>
        <v>#REF!</v>
      </c>
      <c r="L5" s="48">
        <v>985641</v>
      </c>
      <c r="M5" s="48">
        <f t="shared" si="3"/>
        <v>7948.7177419354839</v>
      </c>
      <c r="N5" s="31">
        <f>I5*0.2*1.16</f>
        <v>683.25539806451616</v>
      </c>
      <c r="O5" s="32">
        <f t="shared" si="4"/>
        <v>2261.8109729032258</v>
      </c>
    </row>
    <row r="6" spans="1:15" ht="15" x14ac:dyDescent="0.2">
      <c r="A6" s="54">
        <v>3</v>
      </c>
      <c r="C6" s="4" t="s">
        <v>18</v>
      </c>
      <c r="D6" s="1" t="s">
        <v>59</v>
      </c>
      <c r="E6" s="1">
        <v>4</v>
      </c>
      <c r="F6" s="56">
        <v>7344825</v>
      </c>
      <c r="G6" s="57">
        <f t="shared" si="0"/>
        <v>59232.459677419356</v>
      </c>
      <c r="H6" s="26">
        <v>622335.63</v>
      </c>
      <c r="I6" s="28">
        <f t="shared" si="1"/>
        <v>5018.8357258064516</v>
      </c>
      <c r="J6" s="29">
        <f t="shared" si="2"/>
        <v>8.473117194759576E-2</v>
      </c>
      <c r="K6" s="30" t="e">
        <f>(VLOOKUP(C6,$C$4:$J$47,5,0)-VLOOKUP(C6,#REF!,5,0))/VLOOKUP(C6,#REF!,5,0)</f>
        <v>#REF!</v>
      </c>
      <c r="L6" s="48">
        <v>965205</v>
      </c>
      <c r="M6" s="48">
        <f t="shared" si="3"/>
        <v>7783.9112903225805</v>
      </c>
      <c r="N6" s="31" t="e">
        <f>(14208.8*#REF!)/30/8</f>
        <v>#REF!</v>
      </c>
      <c r="O6" s="32" t="e">
        <f t="shared" si="4"/>
        <v>#REF!</v>
      </c>
    </row>
    <row r="7" spans="1:15" ht="15" x14ac:dyDescent="0.2">
      <c r="A7" s="54">
        <v>4</v>
      </c>
      <c r="C7" s="4" t="s">
        <v>73</v>
      </c>
      <c r="D7" s="1" t="s">
        <v>59</v>
      </c>
      <c r="E7" s="1">
        <v>4</v>
      </c>
      <c r="F7" s="56">
        <v>7238560</v>
      </c>
      <c r="G7" s="57">
        <f t="shared" si="0"/>
        <v>58375.483870967742</v>
      </c>
      <c r="H7" s="26">
        <v>628513.24</v>
      </c>
      <c r="I7" s="28">
        <f t="shared" si="1"/>
        <v>5068.6551612903222</v>
      </c>
      <c r="J7" s="29">
        <f t="shared" si="2"/>
        <v>8.682849074954134E-2</v>
      </c>
      <c r="K7" s="30" t="e">
        <f>(VLOOKUP(C7,$C$4:$J$47,5,0)-VLOOKUP(C7,#REF!,5,0))/VLOOKUP(C7,#REF!,5,0)</f>
        <v>#REF!</v>
      </c>
      <c r="L7" s="48">
        <v>1078378</v>
      </c>
      <c r="M7" s="48">
        <f t="shared" si="3"/>
        <v>8696.5967741935492</v>
      </c>
      <c r="N7" s="31" t="e">
        <f>(14208.8*#REF!)/30/8</f>
        <v>#REF!</v>
      </c>
      <c r="O7" s="32" t="e">
        <f t="shared" si="4"/>
        <v>#REF!</v>
      </c>
    </row>
    <row r="8" spans="1:15" ht="15" x14ac:dyDescent="0.2">
      <c r="A8" s="54">
        <v>5</v>
      </c>
      <c r="C8" s="4" t="s">
        <v>32</v>
      </c>
      <c r="D8" s="1" t="s">
        <v>59</v>
      </c>
      <c r="E8" s="1">
        <v>6</v>
      </c>
      <c r="F8" s="56">
        <v>10429507.5</v>
      </c>
      <c r="G8" s="57">
        <f t="shared" si="0"/>
        <v>56072.620967741932</v>
      </c>
      <c r="H8" s="26">
        <v>862406.75</v>
      </c>
      <c r="I8" s="28">
        <f t="shared" si="1"/>
        <v>4636.5954301075271</v>
      </c>
      <c r="J8" s="29">
        <f t="shared" si="2"/>
        <v>8.2689115473573424E-2</v>
      </c>
      <c r="K8" s="30" t="e">
        <f>(VLOOKUP(C8,$C$4:$J$47,5,0)-VLOOKUP(C8,#REF!,5,0))/VLOOKUP(C8,#REF!,5,0)</f>
        <v>#REF!</v>
      </c>
      <c r="L8" s="48">
        <v>702380</v>
      </c>
      <c r="M8" s="48">
        <f t="shared" si="3"/>
        <v>3776.2365591397847</v>
      </c>
      <c r="N8" s="31">
        <v>0</v>
      </c>
      <c r="O8" s="32">
        <f t="shared" si="4"/>
        <v>4636.5954301075271</v>
      </c>
    </row>
    <row r="9" spans="1:15" ht="15" x14ac:dyDescent="0.2">
      <c r="A9" s="54">
        <v>6</v>
      </c>
      <c r="C9" s="3" t="s">
        <v>50</v>
      </c>
      <c r="D9" s="1" t="s">
        <v>59</v>
      </c>
      <c r="E9" s="1">
        <v>2</v>
      </c>
      <c r="F9" s="56">
        <v>2882506.75</v>
      </c>
      <c r="G9" s="57">
        <f t="shared" si="0"/>
        <v>46492.044354838712</v>
      </c>
      <c r="H9" s="26">
        <v>115877.8</v>
      </c>
      <c r="I9" s="28">
        <f t="shared" si="1"/>
        <v>1868.9967741935484</v>
      </c>
      <c r="J9" s="29">
        <f t="shared" si="2"/>
        <v>4.0200356859528601E-2</v>
      </c>
      <c r="K9" s="30" t="e">
        <f>(VLOOKUP(C9,$C$4:$J$47,5,0)-VLOOKUP(C9,#REF!,5,0))/VLOOKUP(C9,#REF!,5,0)</f>
        <v>#REF!</v>
      </c>
      <c r="L9" s="48">
        <v>588959</v>
      </c>
      <c r="M9" s="48">
        <f t="shared" si="3"/>
        <v>9499.3387096774186</v>
      </c>
      <c r="N9" s="31">
        <f>(2500.41*J$2)/E9/H$2</f>
        <v>695.80764212903216</v>
      </c>
      <c r="O9" s="32">
        <f t="shared" si="4"/>
        <v>1173.1891320645163</v>
      </c>
    </row>
    <row r="10" spans="1:15" ht="15" x14ac:dyDescent="0.2">
      <c r="A10" s="54">
        <v>7</v>
      </c>
      <c r="C10" s="4" t="s">
        <v>29</v>
      </c>
      <c r="D10" s="1" t="s">
        <v>59</v>
      </c>
      <c r="E10" s="1">
        <v>4</v>
      </c>
      <c r="F10" s="56">
        <v>5021346</v>
      </c>
      <c r="G10" s="57">
        <f t="shared" si="0"/>
        <v>40494.725806451614</v>
      </c>
      <c r="H10" s="26">
        <v>351178.11</v>
      </c>
      <c r="I10" s="28">
        <f t="shared" si="1"/>
        <v>2832.0815322580643</v>
      </c>
      <c r="J10" s="29">
        <f t="shared" si="2"/>
        <v>6.9937046759972324E-2</v>
      </c>
      <c r="K10" s="30" t="e">
        <f>(VLOOKUP(C10,$C$4:$J$47,5,0)-VLOOKUP(C10,#REF!,5,0))/VLOOKUP(C10,#REF!,5,0)</f>
        <v>#REF!</v>
      </c>
      <c r="L10" s="48">
        <v>898419</v>
      </c>
      <c r="M10" s="48">
        <f t="shared" si="3"/>
        <v>7245.3145161290322</v>
      </c>
      <c r="N10" s="31">
        <v>0</v>
      </c>
      <c r="O10" s="32">
        <f t="shared" si="4"/>
        <v>2832.0815322580643</v>
      </c>
    </row>
    <row r="11" spans="1:15" ht="15" x14ac:dyDescent="0.2">
      <c r="A11" s="54">
        <v>8</v>
      </c>
      <c r="C11" s="4" t="s">
        <v>71</v>
      </c>
      <c r="D11" s="1" t="s">
        <v>59</v>
      </c>
      <c r="E11" s="1">
        <v>4</v>
      </c>
      <c r="F11" s="56">
        <v>4989281.2</v>
      </c>
      <c r="G11" s="57">
        <f t="shared" si="0"/>
        <v>40236.13870967742</v>
      </c>
      <c r="H11" s="26">
        <v>126791.05</v>
      </c>
      <c r="I11" s="28">
        <f t="shared" si="1"/>
        <v>1022.5084677419355</v>
      </c>
      <c r="J11" s="29">
        <f t="shared" si="2"/>
        <v>2.5412688705539387E-2</v>
      </c>
      <c r="K11" s="30" t="e">
        <f>(VLOOKUP(C11,$C$4:$J$47,5,0)-VLOOKUP(C11,#REF!,5,0))/VLOOKUP(C11,#REF!,5,0)</f>
        <v>#REF!</v>
      </c>
      <c r="L11" s="48">
        <v>1297333</v>
      </c>
      <c r="M11" s="48">
        <f t="shared" si="3"/>
        <v>10462.362903225807</v>
      </c>
      <c r="N11" s="31">
        <f>I11*0.2*1.16</f>
        <v>237.22196451612905</v>
      </c>
      <c r="O11" s="32">
        <f t="shared" si="4"/>
        <v>785.28650322580643</v>
      </c>
    </row>
    <row r="12" spans="1:15" ht="15" x14ac:dyDescent="0.2">
      <c r="A12" s="54">
        <v>9</v>
      </c>
      <c r="C12" s="4" t="s">
        <v>20</v>
      </c>
      <c r="D12" s="1" t="s">
        <v>59</v>
      </c>
      <c r="E12" s="1">
        <v>6</v>
      </c>
      <c r="F12" s="56">
        <v>6820107.7999999989</v>
      </c>
      <c r="G12" s="57">
        <f t="shared" si="0"/>
        <v>36667.246236559135</v>
      </c>
      <c r="H12" s="26">
        <v>746425.96000000008</v>
      </c>
      <c r="I12" s="28">
        <f t="shared" si="1"/>
        <v>4013.0427956989251</v>
      </c>
      <c r="J12" s="29">
        <f t="shared" si="2"/>
        <v>0.10944489176549382</v>
      </c>
      <c r="K12" s="30" t="e">
        <f>(VLOOKUP(C12,$C$4:$J$47,5,0)-VLOOKUP(C12,#REF!,5,0))/VLOOKUP(C12,#REF!,5,0)</f>
        <v>#REF!</v>
      </c>
      <c r="L12" s="48">
        <v>727144</v>
      </c>
      <c r="M12" s="48">
        <f t="shared" si="3"/>
        <v>3909.3763440860216</v>
      </c>
      <c r="N12" s="31">
        <f>I12*0.25*1.16</f>
        <v>1163.7824107526883</v>
      </c>
      <c r="O12" s="32">
        <f t="shared" si="4"/>
        <v>2849.2603849462366</v>
      </c>
    </row>
    <row r="13" spans="1:15" ht="15" x14ac:dyDescent="0.2">
      <c r="A13" s="54">
        <v>10</v>
      </c>
      <c r="C13" s="4" t="s">
        <v>27</v>
      </c>
      <c r="D13" s="1" t="s">
        <v>59</v>
      </c>
      <c r="E13" s="1">
        <v>4</v>
      </c>
      <c r="F13" s="56">
        <v>4492725.4000000004</v>
      </c>
      <c r="G13" s="57">
        <f t="shared" si="0"/>
        <v>36231.656451612907</v>
      </c>
      <c r="H13" s="26">
        <v>558291.55000000005</v>
      </c>
      <c r="I13" s="28">
        <f t="shared" si="1"/>
        <v>4502.3512096774193</v>
      </c>
      <c r="J13" s="29">
        <f t="shared" si="2"/>
        <v>0.12426567401604378</v>
      </c>
      <c r="K13" s="30" t="e">
        <f>(VLOOKUP(C13,$C$4:$J$47,5,0)-VLOOKUP(C13,#REF!,5,0))/VLOOKUP(C13,#REF!,5,0)</f>
        <v>#REF!</v>
      </c>
      <c r="L13" s="48">
        <v>453044</v>
      </c>
      <c r="M13" s="48">
        <f t="shared" si="3"/>
        <v>3653.5806451612902</v>
      </c>
      <c r="N13" s="31">
        <f>I13*0.25*1.16</f>
        <v>1305.6818508064516</v>
      </c>
      <c r="O13" s="32">
        <f t="shared" si="4"/>
        <v>3196.6693588709677</v>
      </c>
    </row>
    <row r="14" spans="1:15" ht="15" x14ac:dyDescent="0.2">
      <c r="A14" s="54">
        <v>11</v>
      </c>
      <c r="C14" s="3" t="s">
        <v>60</v>
      </c>
      <c r="D14" s="1" t="s">
        <v>59</v>
      </c>
      <c r="E14" s="1">
        <v>6</v>
      </c>
      <c r="F14" s="56">
        <v>6724982.0899999999</v>
      </c>
      <c r="G14" s="57">
        <f t="shared" si="0"/>
        <v>36155.817688172043</v>
      </c>
      <c r="H14" s="26">
        <v>251423.56</v>
      </c>
      <c r="I14" s="28">
        <f t="shared" si="1"/>
        <v>1351.7395698924731</v>
      </c>
      <c r="J14" s="29">
        <f t="shared" si="2"/>
        <v>3.7386502541600079E-2</v>
      </c>
      <c r="K14" s="30" t="e">
        <f>(VLOOKUP(C14,$C$4:$J$47,5,0)-VLOOKUP(C14,#REF!,5,0))/VLOOKUP(C14,#REF!,5,0)</f>
        <v>#REF!</v>
      </c>
      <c r="L14" s="48">
        <v>1260032</v>
      </c>
      <c r="M14" s="48">
        <f t="shared" si="3"/>
        <v>6774.36559139785</v>
      </c>
      <c r="N14" s="31">
        <v>0</v>
      </c>
      <c r="O14" s="32">
        <f t="shared" si="4"/>
        <v>1351.7395698924731</v>
      </c>
    </row>
    <row r="15" spans="1:15" ht="15" x14ac:dyDescent="0.2">
      <c r="A15" s="54">
        <v>12</v>
      </c>
      <c r="C15" s="4" t="s">
        <v>82</v>
      </c>
      <c r="D15" s="1" t="s">
        <v>59</v>
      </c>
      <c r="E15" s="1">
        <v>4</v>
      </c>
      <c r="F15" s="56">
        <v>4425140</v>
      </c>
      <c r="G15" s="57">
        <f t="shared" si="0"/>
        <v>35686.612903225803</v>
      </c>
      <c r="H15" s="26">
        <v>473134.36</v>
      </c>
      <c r="I15" s="28">
        <f t="shared" si="1"/>
        <v>3815.5996774193545</v>
      </c>
      <c r="J15" s="29">
        <f t="shared" si="2"/>
        <v>0.10691963644088097</v>
      </c>
      <c r="K15" s="30" t="e">
        <f>(VLOOKUP(C15,$C$4:$J$47,5,0)-VLOOKUP(C15,#REF!,5,0))/VLOOKUP(C15,#REF!,5,0)</f>
        <v>#REF!</v>
      </c>
      <c r="L15" s="48">
        <v>349821</v>
      </c>
      <c r="M15" s="48">
        <f t="shared" si="3"/>
        <v>2821.1370967741937</v>
      </c>
      <c r="N15" s="31">
        <f>(6228.6*J$2)/E15/H$2</f>
        <v>866.63936709677421</v>
      </c>
      <c r="O15" s="32">
        <f t="shared" si="4"/>
        <v>2948.9603103225804</v>
      </c>
    </row>
    <row r="16" spans="1:15" ht="15" x14ac:dyDescent="0.2">
      <c r="A16" s="54">
        <v>13</v>
      </c>
      <c r="B16" s="55" t="s">
        <v>16</v>
      </c>
      <c r="C16" s="4" t="s">
        <v>36</v>
      </c>
      <c r="D16" s="1" t="s">
        <v>59</v>
      </c>
      <c r="E16" s="1">
        <v>12</v>
      </c>
      <c r="F16" s="56">
        <v>13064807</v>
      </c>
      <c r="G16" s="57">
        <f t="shared" si="0"/>
        <v>35120.448924731187</v>
      </c>
      <c r="H16" s="26">
        <v>761372</v>
      </c>
      <c r="I16" s="28">
        <f t="shared" si="1"/>
        <v>2046.6989247311826</v>
      </c>
      <c r="J16" s="29">
        <f t="shared" si="2"/>
        <v>5.8276559309295567E-2</v>
      </c>
      <c r="K16" s="30" t="e">
        <f>(VLOOKUP(C16,$C$4:$J$47,5,0)-VLOOKUP(C16,#REF!,5,0))/VLOOKUP(C16,#REF!,5,0)</f>
        <v>#REF!</v>
      </c>
      <c r="L16" s="48">
        <v>359442</v>
      </c>
      <c r="M16" s="48">
        <f t="shared" si="3"/>
        <v>966.24193548387098</v>
      </c>
      <c r="N16" s="31">
        <f>I16*0.18*1.16</f>
        <v>427.35073548387089</v>
      </c>
      <c r="O16" s="32">
        <f t="shared" si="4"/>
        <v>1619.3481892473117</v>
      </c>
    </row>
    <row r="17" spans="1:15" ht="15" x14ac:dyDescent="0.2">
      <c r="A17" s="54">
        <v>14</v>
      </c>
      <c r="C17" s="3" t="s">
        <v>80</v>
      </c>
      <c r="D17" s="1" t="s">
        <v>59</v>
      </c>
      <c r="E17" s="1">
        <v>8</v>
      </c>
      <c r="F17" s="56">
        <v>7567613.75</v>
      </c>
      <c r="G17" s="57">
        <f t="shared" si="0"/>
        <v>30514.571572580644</v>
      </c>
      <c r="H17" s="26">
        <v>268367.37</v>
      </c>
      <c r="I17" s="28">
        <f t="shared" si="1"/>
        <v>1082.126491935484</v>
      </c>
      <c r="J17" s="29">
        <f t="shared" si="2"/>
        <v>3.5462614618775971E-2</v>
      </c>
      <c r="K17" s="30" t="e">
        <f>(VLOOKUP(C17,$C$4:$J$47,5,0)-VLOOKUP(C17,#REF!,5,0))/VLOOKUP(C17,#REF!,5,0)</f>
        <v>#REF!</v>
      </c>
      <c r="L17" s="48">
        <v>1735109</v>
      </c>
      <c r="M17" s="48">
        <f t="shared" si="3"/>
        <v>6996.4072580645161</v>
      </c>
      <c r="N17" s="31">
        <v>0</v>
      </c>
      <c r="O17" s="32">
        <f t="shared" si="4"/>
        <v>1082.126491935484</v>
      </c>
    </row>
    <row r="18" spans="1:15" ht="15" x14ac:dyDescent="0.2">
      <c r="A18" s="54">
        <v>15</v>
      </c>
      <c r="C18" s="4" t="s">
        <v>44</v>
      </c>
      <c r="D18" s="1" t="s">
        <v>59</v>
      </c>
      <c r="E18" s="1">
        <v>6</v>
      </c>
      <c r="F18" s="56">
        <v>5425605</v>
      </c>
      <c r="G18" s="57">
        <f t="shared" si="0"/>
        <v>29169.919354838708</v>
      </c>
      <c r="H18" s="26">
        <v>393891.2</v>
      </c>
      <c r="I18" s="28">
        <f t="shared" si="1"/>
        <v>2117.6946236559143</v>
      </c>
      <c r="J18" s="29">
        <f t="shared" si="2"/>
        <v>7.2598576564272571E-2</v>
      </c>
      <c r="K18" s="30" t="e">
        <f>(VLOOKUP(C18,$C$4:$J$47,5,0)-VLOOKUP(C18,#REF!,5,0))/VLOOKUP(C18,#REF!,5,0)</f>
        <v>#REF!</v>
      </c>
      <c r="L18" s="48">
        <v>582595</v>
      </c>
      <c r="M18" s="48">
        <f t="shared" si="3"/>
        <v>3132.2311827956992</v>
      </c>
      <c r="N18" s="31">
        <f>I18*0.2*1.16</f>
        <v>491.30515268817209</v>
      </c>
      <c r="O18" s="32">
        <f t="shared" si="4"/>
        <v>1626.3894709677422</v>
      </c>
    </row>
    <row r="19" spans="1:15" ht="15" x14ac:dyDescent="0.2">
      <c r="A19" s="54">
        <v>16</v>
      </c>
      <c r="C19" s="3" t="s">
        <v>57</v>
      </c>
      <c r="D19" s="1" t="s">
        <v>59</v>
      </c>
      <c r="E19" s="1">
        <v>8</v>
      </c>
      <c r="F19" s="56">
        <v>6989247.3999999994</v>
      </c>
      <c r="G19" s="57">
        <f t="shared" si="0"/>
        <v>28182.449193548386</v>
      </c>
      <c r="H19" s="26">
        <v>293783.25</v>
      </c>
      <c r="I19" s="28">
        <f t="shared" si="1"/>
        <v>1184.609879032258</v>
      </c>
      <c r="J19" s="29">
        <f t="shared" si="2"/>
        <v>4.2033602931268392E-2</v>
      </c>
      <c r="K19" s="30" t="e">
        <f>(VLOOKUP(C19,$C$4:$J$47,5,0)-VLOOKUP(C19,#REF!,5,0))/VLOOKUP(C19,#REF!,5,0)</f>
        <v>#REF!</v>
      </c>
      <c r="L19" s="48">
        <v>975758</v>
      </c>
      <c r="M19" s="48">
        <f t="shared" si="3"/>
        <v>3934.5080645161293</v>
      </c>
      <c r="N19" s="31">
        <f>(9348.36*J$2)/E19/H$2</f>
        <v>650.359374</v>
      </c>
      <c r="O19" s="32">
        <f t="shared" si="4"/>
        <v>534.25050503225805</v>
      </c>
    </row>
    <row r="20" spans="1:15" ht="15" x14ac:dyDescent="0.2">
      <c r="A20" s="54">
        <v>17</v>
      </c>
      <c r="C20" s="3" t="s">
        <v>47</v>
      </c>
      <c r="D20" s="1" t="s">
        <v>59</v>
      </c>
      <c r="E20" s="1">
        <v>8</v>
      </c>
      <c r="F20" s="56">
        <v>6621953</v>
      </c>
      <c r="G20" s="57">
        <f t="shared" si="0"/>
        <v>26701.423387096773</v>
      </c>
      <c r="H20" s="26">
        <v>272989.31</v>
      </c>
      <c r="I20" s="28">
        <f t="shared" si="1"/>
        <v>1100.7633467741935</v>
      </c>
      <c r="J20" s="29">
        <f t="shared" si="2"/>
        <v>4.122489392479832E-2</v>
      </c>
      <c r="K20" s="30" t="e">
        <f>(VLOOKUP(C20,$C$4:$J$47,5,0)-VLOOKUP(C20,#REF!,5,0))/VLOOKUP(C20,#REF!,5,0)</f>
        <v>#REF!</v>
      </c>
      <c r="L20" s="48">
        <v>1694067</v>
      </c>
      <c r="M20" s="48">
        <f t="shared" si="3"/>
        <v>6830.9153225806449</v>
      </c>
      <c r="N20" s="31">
        <f>I20*0.2*1.16</f>
        <v>255.37709645161289</v>
      </c>
      <c r="O20" s="32">
        <f t="shared" si="4"/>
        <v>845.38625032258051</v>
      </c>
    </row>
    <row r="21" spans="1:15" ht="15" x14ac:dyDescent="0.2">
      <c r="A21" s="54">
        <v>18</v>
      </c>
      <c r="B21" s="55" t="s">
        <v>16</v>
      </c>
      <c r="C21" s="4" t="s">
        <v>76</v>
      </c>
      <c r="D21" s="1" t="s">
        <v>35</v>
      </c>
      <c r="E21" s="1">
        <v>22</v>
      </c>
      <c r="F21" s="56">
        <v>17763360.699999999</v>
      </c>
      <c r="G21" s="57">
        <f t="shared" si="0"/>
        <v>26045.983431085042</v>
      </c>
      <c r="H21" s="26">
        <v>1033921.9</v>
      </c>
      <c r="I21" s="28">
        <f t="shared" si="1"/>
        <v>1516.0145161290325</v>
      </c>
      <c r="J21" s="29">
        <f t="shared" si="2"/>
        <v>5.8205309088837011E-2</v>
      </c>
      <c r="K21" s="30" t="e">
        <f>(VLOOKUP(C21,$C$4:$J$47,5,0)-VLOOKUP(C21,#REF!,5,0))/VLOOKUP(C21,#REF!,5,0)</f>
        <v>#REF!</v>
      </c>
      <c r="L21" s="48">
        <v>685375</v>
      </c>
      <c r="M21" s="48">
        <f t="shared" si="3"/>
        <v>1004.9486803519062</v>
      </c>
      <c r="N21" s="31">
        <f>I21*0.18*1.16</f>
        <v>316.54383096774194</v>
      </c>
      <c r="O21" s="32">
        <f t="shared" si="4"/>
        <v>1199.4706851612905</v>
      </c>
    </row>
    <row r="22" spans="1:15" ht="15" x14ac:dyDescent="0.2">
      <c r="A22" s="54">
        <v>19</v>
      </c>
      <c r="C22" s="4" t="s">
        <v>17</v>
      </c>
      <c r="D22" s="1" t="s">
        <v>59</v>
      </c>
      <c r="E22" s="1">
        <v>3</v>
      </c>
      <c r="F22" s="56">
        <v>2333568</v>
      </c>
      <c r="G22" s="57">
        <f t="shared" si="0"/>
        <v>25092.129032258064</v>
      </c>
      <c r="H22" s="26">
        <v>245065.59</v>
      </c>
      <c r="I22" s="28">
        <f t="shared" si="1"/>
        <v>2635.1138709677421</v>
      </c>
      <c r="J22" s="29">
        <f t="shared" si="2"/>
        <v>0.10501754823514893</v>
      </c>
      <c r="K22" s="30" t="e">
        <f>(VLOOKUP(C22,$C$4:$J$47,5,0)-VLOOKUP(C22,#REF!,5,0))/VLOOKUP(C22,#REF!,5,0)</f>
        <v>#REF!</v>
      </c>
      <c r="L22" s="48">
        <v>195486</v>
      </c>
      <c r="M22" s="48">
        <f t="shared" si="3"/>
        <v>2102</v>
      </c>
      <c r="N22" s="31">
        <v>0</v>
      </c>
      <c r="O22" s="32">
        <f t="shared" si="4"/>
        <v>2635.1138709677421</v>
      </c>
    </row>
    <row r="23" spans="1:15" ht="15" x14ac:dyDescent="0.2">
      <c r="A23" s="54">
        <v>20</v>
      </c>
      <c r="C23" s="4" t="s">
        <v>86</v>
      </c>
      <c r="D23" s="1" t="s">
        <v>59</v>
      </c>
      <c r="E23" s="1">
        <v>4</v>
      </c>
      <c r="F23" s="56">
        <v>2960717.5</v>
      </c>
      <c r="G23" s="57">
        <f t="shared" si="0"/>
        <v>23876.754032258064</v>
      </c>
      <c r="H23" s="26">
        <v>178171.8</v>
      </c>
      <c r="I23" s="28">
        <f t="shared" si="1"/>
        <v>1436.8693548387096</v>
      </c>
      <c r="J23" s="29">
        <f t="shared" si="2"/>
        <v>6.0178588467153647E-2</v>
      </c>
      <c r="K23" s="30" t="e">
        <f>(VLOOKUP(C23,$C$4:$J$47,5,0)-VLOOKUP(C23,#REF!,5,0))/VLOOKUP(C23,#REF!,5,0)</f>
        <v>#REF!</v>
      </c>
      <c r="L23" s="48">
        <v>718794</v>
      </c>
      <c r="M23" s="48">
        <f t="shared" si="3"/>
        <v>5796.7258064516127</v>
      </c>
      <c r="N23" s="31">
        <v>0</v>
      </c>
      <c r="O23" s="32">
        <f t="shared" si="4"/>
        <v>1436.8693548387096</v>
      </c>
    </row>
    <row r="24" spans="1:15" ht="15" x14ac:dyDescent="0.2">
      <c r="A24" s="54">
        <v>21</v>
      </c>
      <c r="C24" s="4" t="s">
        <v>24</v>
      </c>
      <c r="D24" s="1" t="s">
        <v>35</v>
      </c>
      <c r="E24" s="1">
        <v>5</v>
      </c>
      <c r="F24" s="56">
        <v>3510846.6999999997</v>
      </c>
      <c r="G24" s="57">
        <f t="shared" si="0"/>
        <v>22650.623870967742</v>
      </c>
      <c r="H24" s="26">
        <v>183578.99999999997</v>
      </c>
      <c r="I24" s="28">
        <f t="shared" si="1"/>
        <v>1184.3806451612902</v>
      </c>
      <c r="J24" s="29">
        <f t="shared" si="2"/>
        <v>5.2289095960811958E-2</v>
      </c>
      <c r="K24" s="30" t="e">
        <f>(VLOOKUP(C24,$C$4:$J$47,5,0)-VLOOKUP(C24,#REF!,5,0))/VLOOKUP(C24,#REF!,5,0)</f>
        <v>#REF!</v>
      </c>
      <c r="L24" s="48">
        <v>710234</v>
      </c>
      <c r="M24" s="48">
        <f t="shared" si="3"/>
        <v>4582.1548387096773</v>
      </c>
      <c r="N24" s="31">
        <v>0</v>
      </c>
      <c r="O24" s="32">
        <f t="shared" si="4"/>
        <v>1184.3806451612902</v>
      </c>
    </row>
    <row r="25" spans="1:15" ht="15" x14ac:dyDescent="0.2">
      <c r="A25" s="54">
        <v>22</v>
      </c>
      <c r="C25" s="4" t="s">
        <v>30</v>
      </c>
      <c r="D25" s="1" t="s">
        <v>35</v>
      </c>
      <c r="E25" s="1">
        <v>6</v>
      </c>
      <c r="F25" s="56">
        <v>4187630.0999999996</v>
      </c>
      <c r="G25" s="57">
        <f t="shared" si="0"/>
        <v>22514.140322580646</v>
      </c>
      <c r="H25" s="26">
        <v>184174.81</v>
      </c>
      <c r="I25" s="28">
        <f t="shared" si="1"/>
        <v>990.18715053763435</v>
      </c>
      <c r="J25" s="29">
        <f t="shared" si="2"/>
        <v>4.3980677758525037E-2</v>
      </c>
      <c r="K25" s="30" t="e">
        <f>(VLOOKUP(C25,$C$4:$J$47,5,0)-VLOOKUP(C25,#REF!,5,0))/VLOOKUP(C25,#REF!,5,0)</f>
        <v>#REF!</v>
      </c>
      <c r="L25" s="48">
        <v>180698</v>
      </c>
      <c r="M25" s="48">
        <f t="shared" si="3"/>
        <v>971.49462365591398</v>
      </c>
      <c r="N25" s="31">
        <v>0</v>
      </c>
      <c r="O25" s="32">
        <f t="shared" si="4"/>
        <v>990.18715053763435</v>
      </c>
    </row>
    <row r="26" spans="1:15" ht="15" x14ac:dyDescent="0.2">
      <c r="A26" s="54">
        <v>23</v>
      </c>
      <c r="C26" s="4" t="s">
        <v>81</v>
      </c>
      <c r="D26" s="1" t="s">
        <v>59</v>
      </c>
      <c r="E26" s="1">
        <v>4</v>
      </c>
      <c r="F26" s="56">
        <v>2700021.25</v>
      </c>
      <c r="G26" s="57">
        <f t="shared" si="0"/>
        <v>21774.364919354837</v>
      </c>
      <c r="H26" s="26">
        <v>117241.48</v>
      </c>
      <c r="I26" s="28">
        <f t="shared" si="1"/>
        <v>945.49580645161291</v>
      </c>
      <c r="J26" s="29">
        <f t="shared" si="2"/>
        <v>4.3422428619774758E-2</v>
      </c>
      <c r="K26" s="30" t="e">
        <f>(VLOOKUP(C26,$C$4:$J$47,5,0)-VLOOKUP(C26,#REF!,5,0))/VLOOKUP(C26,#REF!,5,0)</f>
        <v>#REF!</v>
      </c>
      <c r="L26" s="48">
        <v>333019</v>
      </c>
      <c r="M26" s="48">
        <f t="shared" si="3"/>
        <v>2685.6370967741937</v>
      </c>
      <c r="N26" s="31">
        <v>0</v>
      </c>
      <c r="O26" s="32">
        <f t="shared" si="4"/>
        <v>945.49580645161291</v>
      </c>
    </row>
    <row r="27" spans="1:15" ht="15" x14ac:dyDescent="0.2">
      <c r="A27" s="54">
        <v>24</v>
      </c>
      <c r="C27" s="4" t="s">
        <v>84</v>
      </c>
      <c r="D27" s="1" t="s">
        <v>59</v>
      </c>
      <c r="E27" s="1">
        <v>4</v>
      </c>
      <c r="F27" s="56">
        <v>2650476.25</v>
      </c>
      <c r="G27" s="57">
        <f t="shared" si="0"/>
        <v>21374.808467741936</v>
      </c>
      <c r="H27" s="26">
        <v>74746.76999999999</v>
      </c>
      <c r="I27" s="28">
        <f t="shared" si="1"/>
        <v>602.79653225806442</v>
      </c>
      <c r="J27" s="29">
        <f t="shared" si="2"/>
        <v>2.82012600565653E-2</v>
      </c>
      <c r="K27" s="30" t="e">
        <f>(VLOOKUP(C27,$C$4:$J$47,5,0)-VLOOKUP(C27,#REF!,5,0))/VLOOKUP(C27,#REF!,5,0)</f>
        <v>#REF!</v>
      </c>
      <c r="L27" s="48">
        <v>264298</v>
      </c>
      <c r="M27" s="48">
        <f t="shared" si="3"/>
        <v>2131.4354838709678</v>
      </c>
      <c r="N27" s="31">
        <f>(6228.6*J$2)/E27/H$2</f>
        <v>866.63936709677421</v>
      </c>
      <c r="O27" s="32">
        <f t="shared" si="4"/>
        <v>-263.84283483870979</v>
      </c>
    </row>
    <row r="28" spans="1:15" ht="15" x14ac:dyDescent="0.2">
      <c r="A28" s="54">
        <v>25</v>
      </c>
      <c r="C28" s="4" t="s">
        <v>40</v>
      </c>
      <c r="D28" s="1" t="s">
        <v>59</v>
      </c>
      <c r="E28" s="1">
        <v>6</v>
      </c>
      <c r="F28" s="56">
        <v>3969117.08</v>
      </c>
      <c r="G28" s="57">
        <f t="shared" si="0"/>
        <v>21339.339139784945</v>
      </c>
      <c r="H28" s="26">
        <v>341474.91</v>
      </c>
      <c r="I28" s="28">
        <f t="shared" si="1"/>
        <v>1835.8866129032256</v>
      </c>
      <c r="J28" s="29">
        <f t="shared" si="2"/>
        <v>8.6032964792260552E-2</v>
      </c>
      <c r="K28" s="30" t="e">
        <f>(VLOOKUP(C28,$C$4:$J$47,5,0)-VLOOKUP(C28,#REF!,5,0))/VLOOKUP(C28,#REF!,5,0)</f>
        <v>#REF!</v>
      </c>
      <c r="L28" s="48">
        <v>565998</v>
      </c>
      <c r="M28" s="48">
        <f t="shared" si="3"/>
        <v>3043</v>
      </c>
      <c r="N28" s="31">
        <v>0</v>
      </c>
      <c r="O28" s="32">
        <f t="shared" si="4"/>
        <v>1835.8866129032256</v>
      </c>
    </row>
    <row r="29" spans="1:15" ht="15" x14ac:dyDescent="0.2">
      <c r="A29" s="54">
        <v>26</v>
      </c>
      <c r="C29" s="4" t="s">
        <v>24</v>
      </c>
      <c r="D29" s="1" t="s">
        <v>59</v>
      </c>
      <c r="E29" s="1">
        <v>2</v>
      </c>
      <c r="F29" s="56">
        <v>1303966.8</v>
      </c>
      <c r="G29" s="57">
        <f t="shared" si="0"/>
        <v>21031.722580645161</v>
      </c>
      <c r="H29" s="26">
        <v>55621.2</v>
      </c>
      <c r="I29" s="28">
        <f t="shared" si="1"/>
        <v>897.11612903225807</v>
      </c>
      <c r="J29" s="29">
        <f t="shared" si="2"/>
        <v>4.2655380489748665E-2</v>
      </c>
      <c r="K29" s="30" t="e">
        <f>(VLOOKUP(C29,$C$4:$J$47,5,0)-VLOOKUP(C29,#REF!,5,0))/VLOOKUP(C29,#REF!,5,0)</f>
        <v>#REF!</v>
      </c>
      <c r="L29" s="48">
        <v>556081</v>
      </c>
      <c r="M29" s="48">
        <f t="shared" si="3"/>
        <v>8969.0483870967746</v>
      </c>
      <c r="N29" s="31">
        <v>0</v>
      </c>
      <c r="O29" s="32">
        <f t="shared" si="4"/>
        <v>897.11612903225807</v>
      </c>
    </row>
    <row r="30" spans="1:15" ht="15" x14ac:dyDescent="0.2">
      <c r="A30" s="54">
        <v>27</v>
      </c>
      <c r="C30" s="4" t="s">
        <v>31</v>
      </c>
      <c r="D30" s="1" t="s">
        <v>59</v>
      </c>
      <c r="E30" s="1">
        <v>2</v>
      </c>
      <c r="F30" s="56">
        <v>1299608</v>
      </c>
      <c r="G30" s="57">
        <f t="shared" si="0"/>
        <v>20961.419354838708</v>
      </c>
      <c r="H30" s="26">
        <v>87086.2</v>
      </c>
      <c r="I30" s="28">
        <f t="shared" si="1"/>
        <v>1404.616129032258</v>
      </c>
      <c r="J30" s="29">
        <f t="shared" si="2"/>
        <v>6.7009590584237708E-2</v>
      </c>
      <c r="K30" s="30" t="e">
        <f>(VLOOKUP(C30,$C$4:$J$47,5,0)-VLOOKUP(C30,#REF!,5,0))/VLOOKUP(C30,#REF!,5,0)</f>
        <v>#REF!</v>
      </c>
      <c r="L30" s="48">
        <v>315454</v>
      </c>
      <c r="M30" s="48">
        <f t="shared" si="3"/>
        <v>5087.9677419354839</v>
      </c>
      <c r="N30" s="31">
        <v>0</v>
      </c>
      <c r="O30" s="32">
        <f t="shared" si="4"/>
        <v>1404.616129032258</v>
      </c>
    </row>
    <row r="31" spans="1:15" ht="15" x14ac:dyDescent="0.2">
      <c r="A31" s="54">
        <v>28</v>
      </c>
      <c r="C31" s="4" t="s">
        <v>83</v>
      </c>
      <c r="D31" s="1" t="s">
        <v>59</v>
      </c>
      <c r="E31" s="1">
        <v>4</v>
      </c>
      <c r="F31" s="56">
        <v>2598095</v>
      </c>
      <c r="G31" s="57">
        <f t="shared" si="0"/>
        <v>20952.379032258064</v>
      </c>
      <c r="H31" s="26">
        <v>1249.5400000000081</v>
      </c>
      <c r="I31" s="28">
        <f t="shared" si="1"/>
        <v>10.076935483871033</v>
      </c>
      <c r="J31" s="29">
        <f t="shared" si="2"/>
        <v>4.8094469216868822E-4</v>
      </c>
      <c r="K31" s="30" t="e">
        <f>(VLOOKUP(C31,$C$4:$J$47,5,0)-VLOOKUP(C31,#REF!,5,0))/VLOOKUP(C31,#REF!,5,0)</f>
        <v>#REF!</v>
      </c>
      <c r="L31" s="48">
        <v>388459</v>
      </c>
      <c r="M31" s="48">
        <f t="shared" si="3"/>
        <v>3132.733870967742</v>
      </c>
      <c r="N31" s="31">
        <v>0</v>
      </c>
      <c r="O31" s="32">
        <f t="shared" si="4"/>
        <v>10.076935483871033</v>
      </c>
    </row>
    <row r="32" spans="1:15" ht="15" x14ac:dyDescent="0.2">
      <c r="A32" s="54">
        <v>29</v>
      </c>
      <c r="B32" s="2"/>
      <c r="C32" s="4" t="s">
        <v>72</v>
      </c>
      <c r="D32" s="1" t="s">
        <v>59</v>
      </c>
      <c r="E32" s="1">
        <v>6</v>
      </c>
      <c r="F32" s="56">
        <v>3831888.75</v>
      </c>
      <c r="G32" s="57">
        <f t="shared" si="0"/>
        <v>20601.552419354837</v>
      </c>
      <c r="H32" s="26">
        <v>159442.35</v>
      </c>
      <c r="I32" s="28">
        <f t="shared" si="1"/>
        <v>857.216935483871</v>
      </c>
      <c r="J32" s="29">
        <f t="shared" si="2"/>
        <v>4.1609336909898549E-2</v>
      </c>
      <c r="K32" s="30" t="e">
        <f>(VLOOKUP(C32,$C$4:$J$47,5,0)-VLOOKUP(C32,#REF!,5,0))/VLOOKUP(C32,#REF!,5,0)</f>
        <v>#REF!</v>
      </c>
      <c r="L32" s="48">
        <v>997788</v>
      </c>
      <c r="M32" s="48">
        <f t="shared" si="3"/>
        <v>5364.4516129032254</v>
      </c>
      <c r="N32" s="31">
        <f>(2380*J$2)/E32/H$2</f>
        <v>220.76675268817206</v>
      </c>
      <c r="O32" s="32">
        <f t="shared" si="4"/>
        <v>636.45018279569899</v>
      </c>
    </row>
    <row r="33" spans="1:15" ht="15" x14ac:dyDescent="0.2">
      <c r="A33" s="54">
        <v>30</v>
      </c>
      <c r="C33" s="4" t="s">
        <v>74</v>
      </c>
      <c r="D33" s="1" t="s">
        <v>35</v>
      </c>
      <c r="E33" s="1">
        <v>2</v>
      </c>
      <c r="F33" s="56">
        <v>1123917.1000000001</v>
      </c>
      <c r="G33" s="57">
        <f t="shared" si="0"/>
        <v>18127.695161290325</v>
      </c>
      <c r="H33" s="26">
        <v>77036.450000000012</v>
      </c>
      <c r="I33" s="28">
        <f t="shared" si="1"/>
        <v>1242.5233870967743</v>
      </c>
      <c r="J33" s="29">
        <f t="shared" si="2"/>
        <v>6.8542822241960719E-2</v>
      </c>
      <c r="K33" s="30" t="e">
        <f>(VLOOKUP(C33,$C$4:$J$47,5,0)-VLOOKUP(C33,#REF!,5,0))/VLOOKUP(C33,#REF!,5,0)</f>
        <v>#REF!</v>
      </c>
      <c r="L33" s="48">
        <v>256059</v>
      </c>
      <c r="M33" s="48">
        <f t="shared" si="3"/>
        <v>4129.9838709677415</v>
      </c>
      <c r="N33" s="31">
        <v>0</v>
      </c>
      <c r="O33" s="32">
        <f t="shared" si="4"/>
        <v>1242.5233870967743</v>
      </c>
    </row>
    <row r="34" spans="1:15" ht="15" x14ac:dyDescent="0.2">
      <c r="A34" s="54">
        <v>31</v>
      </c>
      <c r="C34" s="4" t="s">
        <v>30</v>
      </c>
      <c r="D34" s="1" t="s">
        <v>59</v>
      </c>
      <c r="E34" s="1">
        <v>8</v>
      </c>
      <c r="F34" s="56">
        <v>4418968.1500000004</v>
      </c>
      <c r="G34" s="57">
        <f t="shared" si="0"/>
        <v>17818.41995967742</v>
      </c>
      <c r="H34" s="26">
        <v>134248.60999999999</v>
      </c>
      <c r="I34" s="28">
        <f t="shared" si="1"/>
        <v>541.32504032258055</v>
      </c>
      <c r="J34" s="29">
        <f t="shared" si="2"/>
        <v>3.0380080924547956E-2</v>
      </c>
      <c r="K34" s="30" t="e">
        <f>(VLOOKUP(C34,$C$4:$J$47,5,0)-VLOOKUP(C34,#REF!,5,0))/VLOOKUP(C34,#REF!,5,0)</f>
        <v>#REF!</v>
      </c>
      <c r="L34" s="48">
        <v>221952</v>
      </c>
      <c r="M34" s="48">
        <f t="shared" si="3"/>
        <v>894.9677419354839</v>
      </c>
      <c r="N34" s="31">
        <v>0</v>
      </c>
      <c r="O34" s="32">
        <f t="shared" si="4"/>
        <v>541.32504032258055</v>
      </c>
    </row>
    <row r="35" spans="1:15" ht="15" x14ac:dyDescent="0.2">
      <c r="A35" s="54">
        <v>32</v>
      </c>
      <c r="C35" s="4" t="s">
        <v>51</v>
      </c>
      <c r="D35" s="1" t="s">
        <v>59</v>
      </c>
      <c r="E35" s="1">
        <v>5</v>
      </c>
      <c r="F35" s="56">
        <v>2312749</v>
      </c>
      <c r="G35" s="57">
        <f t="shared" si="0"/>
        <v>14920.961290322581</v>
      </c>
      <c r="H35" s="26">
        <v>117151.79999999999</v>
      </c>
      <c r="I35" s="28">
        <f t="shared" si="1"/>
        <v>755.81806451612897</v>
      </c>
      <c r="J35" s="29">
        <f t="shared" si="2"/>
        <v>5.0654783549792907E-2</v>
      </c>
      <c r="K35" s="30" t="e">
        <f>(VLOOKUP(C35,$C$4:$J$47,5,0)-VLOOKUP(C35,#REF!,5,0))/VLOOKUP(C35,#REF!,5,0)</f>
        <v>#REF!</v>
      </c>
      <c r="L35" s="48">
        <v>743877</v>
      </c>
      <c r="M35" s="48">
        <f t="shared" si="3"/>
        <v>4799.206451612903</v>
      </c>
      <c r="N35" s="31">
        <v>0</v>
      </c>
      <c r="O35" s="32">
        <f t="shared" si="4"/>
        <v>755.81806451612897</v>
      </c>
    </row>
    <row r="36" spans="1:15" ht="15" x14ac:dyDescent="0.2">
      <c r="A36" s="54">
        <v>33</v>
      </c>
      <c r="C36" s="4" t="s">
        <v>75</v>
      </c>
      <c r="D36" s="1" t="s">
        <v>35</v>
      </c>
      <c r="E36" s="1">
        <v>6</v>
      </c>
      <c r="F36" s="56">
        <v>2611732.2199999997</v>
      </c>
      <c r="G36" s="57">
        <f t="shared" si="0"/>
        <v>14041.571075268816</v>
      </c>
      <c r="H36" s="26">
        <v>75546.81</v>
      </c>
      <c r="I36" s="28">
        <f t="shared" si="1"/>
        <v>406.16564516129034</v>
      </c>
      <c r="J36" s="29">
        <f t="shared" si="2"/>
        <v>2.8925940194588561E-2</v>
      </c>
      <c r="K36" s="30" t="e">
        <f>(VLOOKUP(C36,$C$4:$J$47,5,0)-VLOOKUP(C36,#REF!,5,0))/VLOOKUP(C36,#REF!,5,0)</f>
        <v>#REF!</v>
      </c>
      <c r="L36" s="48">
        <v>579244</v>
      </c>
      <c r="M36" s="48">
        <f t="shared" si="3"/>
        <v>3114.2150537634411</v>
      </c>
      <c r="N36" s="31">
        <v>0</v>
      </c>
      <c r="O36" s="32">
        <f t="shared" si="4"/>
        <v>406.16564516129034</v>
      </c>
    </row>
    <row r="37" spans="1:15" ht="15" x14ac:dyDescent="0.2">
      <c r="A37" s="54">
        <v>34</v>
      </c>
      <c r="B37" s="55" t="s">
        <v>16</v>
      </c>
      <c r="C37" s="4" t="s">
        <v>85</v>
      </c>
      <c r="D37" s="1" t="s">
        <v>59</v>
      </c>
      <c r="E37" s="1">
        <v>8</v>
      </c>
      <c r="F37" s="56">
        <v>3100347.5</v>
      </c>
      <c r="G37" s="57">
        <f t="shared" si="0"/>
        <v>12501.401209677419</v>
      </c>
      <c r="H37" s="26">
        <v>116839.5</v>
      </c>
      <c r="I37" s="28">
        <f t="shared" si="1"/>
        <v>471.12701612903226</v>
      </c>
      <c r="J37" s="29">
        <f t="shared" si="2"/>
        <v>3.7685936818372782E-2</v>
      </c>
      <c r="K37" s="30" t="e">
        <f>(VLOOKUP(C37,$C$4:$J$47,5,0)-VLOOKUP(C37,#REF!,5,0))/VLOOKUP(C37,#REF!,5,0)</f>
        <v>#REF!</v>
      </c>
      <c r="L37" s="48">
        <v>394536</v>
      </c>
      <c r="M37" s="48">
        <f t="shared" si="3"/>
        <v>1590.8709677419354</v>
      </c>
      <c r="N37" s="31">
        <f>I37*0.18*1.16</f>
        <v>98.371320967741923</v>
      </c>
      <c r="O37" s="32">
        <f t="shared" si="4"/>
        <v>372.7556951612903</v>
      </c>
    </row>
    <row r="38" spans="1:15" ht="15" x14ac:dyDescent="0.2">
      <c r="A38" s="54">
        <v>35</v>
      </c>
      <c r="C38" s="4" t="s">
        <v>26</v>
      </c>
      <c r="D38" s="1" t="s">
        <v>35</v>
      </c>
      <c r="E38" s="1">
        <v>1</v>
      </c>
      <c r="F38" s="56">
        <v>367816</v>
      </c>
      <c r="G38" s="57">
        <f t="shared" si="0"/>
        <v>11865.032258064517</v>
      </c>
      <c r="H38" s="26">
        <v>25355.9</v>
      </c>
      <c r="I38" s="28">
        <f t="shared" si="1"/>
        <v>817.93225806451619</v>
      </c>
      <c r="J38" s="29">
        <f t="shared" si="2"/>
        <v>6.8936370359092586E-2</v>
      </c>
      <c r="K38" s="30" t="e">
        <f>(VLOOKUP(C38,$C$4:$J$47,5,0)-VLOOKUP(C38,#REF!,5,0))/VLOOKUP(C38,#REF!,5,0)</f>
        <v>#REF!</v>
      </c>
      <c r="L38" s="48">
        <v>72328</v>
      </c>
      <c r="M38" s="48">
        <f t="shared" si="3"/>
        <v>2333.1612903225805</v>
      </c>
      <c r="N38" s="31">
        <v>0</v>
      </c>
      <c r="O38" s="32">
        <f t="shared" si="4"/>
        <v>817.93225806451619</v>
      </c>
    </row>
    <row r="39" spans="1:15" ht="15" x14ac:dyDescent="0.2">
      <c r="A39" s="54">
        <v>36</v>
      </c>
      <c r="C39" s="4" t="s">
        <v>74</v>
      </c>
      <c r="D39" s="1" t="s">
        <v>59</v>
      </c>
      <c r="E39" s="1">
        <v>2</v>
      </c>
      <c r="F39" s="56">
        <v>728797.6</v>
      </c>
      <c r="G39" s="57">
        <f t="shared" si="0"/>
        <v>11754.8</v>
      </c>
      <c r="H39" s="26">
        <v>74020.049999999988</v>
      </c>
      <c r="I39" s="28">
        <f t="shared" si="1"/>
        <v>1193.8717741935482</v>
      </c>
      <c r="J39" s="29">
        <f t="shared" si="2"/>
        <v>0.10156461821498862</v>
      </c>
      <c r="K39" s="30" t="e">
        <f>(VLOOKUP(C39,$C$4:$J$47,5,0)-VLOOKUP(C39,#REF!,5,0))/VLOOKUP(C39,#REF!,5,0)</f>
        <v>#REF!</v>
      </c>
      <c r="L39" s="48">
        <v>155130</v>
      </c>
      <c r="M39" s="48">
        <f t="shared" si="3"/>
        <v>2502.0967741935483</v>
      </c>
      <c r="N39" s="31">
        <v>0</v>
      </c>
      <c r="O39" s="32">
        <f t="shared" si="4"/>
        <v>1193.8717741935482</v>
      </c>
    </row>
    <row r="40" spans="1:15" ht="15" x14ac:dyDescent="0.2">
      <c r="A40" s="54">
        <v>37</v>
      </c>
      <c r="C40" s="3" t="s">
        <v>70</v>
      </c>
      <c r="D40" s="1" t="s">
        <v>35</v>
      </c>
      <c r="E40" s="1">
        <v>4</v>
      </c>
      <c r="F40" s="56">
        <v>1175734</v>
      </c>
      <c r="G40" s="57">
        <f t="shared" si="0"/>
        <v>9481.7258064516136</v>
      </c>
      <c r="H40" s="26">
        <v>67930.62</v>
      </c>
      <c r="I40" s="28">
        <f t="shared" si="1"/>
        <v>547.82758064516122</v>
      </c>
      <c r="J40" s="29">
        <f t="shared" si="2"/>
        <v>5.7777201305737512E-2</v>
      </c>
      <c r="K40" s="30" t="e">
        <f>(VLOOKUP(C40,$C$4:$J$47,5,0)-VLOOKUP(C40,#REF!,5,0))/VLOOKUP(C40,#REF!,5,0)</f>
        <v>#REF!</v>
      </c>
      <c r="L40" s="48">
        <v>295101</v>
      </c>
      <c r="M40" s="48">
        <f t="shared" si="3"/>
        <v>2379.8467741935483</v>
      </c>
      <c r="N40" s="31">
        <f>I40*0.2*1.16</f>
        <v>127.0959987096774</v>
      </c>
      <c r="O40" s="32">
        <f t="shared" si="4"/>
        <v>420.7315819354838</v>
      </c>
    </row>
    <row r="41" spans="1:15" ht="15" x14ac:dyDescent="0.2">
      <c r="A41" s="54">
        <v>38</v>
      </c>
      <c r="C41" s="4" t="s">
        <v>56</v>
      </c>
      <c r="D41" s="1" t="s">
        <v>59</v>
      </c>
      <c r="E41" s="1">
        <v>4</v>
      </c>
      <c r="F41" s="56">
        <v>1154398.1000000001</v>
      </c>
      <c r="G41" s="57">
        <f t="shared" si="0"/>
        <v>9309.6620967741947</v>
      </c>
      <c r="H41" s="26">
        <v>64806.9</v>
      </c>
      <c r="I41" s="28">
        <f t="shared" si="1"/>
        <v>522.63629032258063</v>
      </c>
      <c r="J41" s="29">
        <f t="shared" si="2"/>
        <v>5.6139125662109102E-2</v>
      </c>
      <c r="K41" s="30" t="e">
        <f>(VLOOKUP(C41,$C$4:$J$47,5,0)-VLOOKUP(C41,#REF!,5,0))/VLOOKUP(C41,#REF!,5,0)</f>
        <v>#REF!</v>
      </c>
      <c r="L41" s="48">
        <v>244816</v>
      </c>
      <c r="M41" s="48">
        <f t="shared" si="3"/>
        <v>1974.3225806451612</v>
      </c>
      <c r="N41" s="31">
        <v>0</v>
      </c>
      <c r="O41" s="32">
        <f t="shared" si="4"/>
        <v>522.63629032258063</v>
      </c>
    </row>
    <row r="42" spans="1:15" ht="15" x14ac:dyDescent="0.2">
      <c r="A42" s="54">
        <v>39</v>
      </c>
      <c r="C42" s="4" t="s">
        <v>77</v>
      </c>
      <c r="D42" s="1" t="s">
        <v>35</v>
      </c>
      <c r="E42" s="1">
        <v>5</v>
      </c>
      <c r="F42" s="56">
        <v>1337318.6499999999</v>
      </c>
      <c r="G42" s="57">
        <f t="shared" si="0"/>
        <v>8627.8622580645151</v>
      </c>
      <c r="H42" s="26">
        <v>74947.899999999994</v>
      </c>
      <c r="I42" s="28">
        <f t="shared" si="1"/>
        <v>483.53483870967733</v>
      </c>
      <c r="J42" s="29">
        <f t="shared" si="2"/>
        <v>5.6043411942247268E-2</v>
      </c>
      <c r="K42" s="30" t="e">
        <f>(VLOOKUP(C42,$C$4:$J$47,5,0)-VLOOKUP(C42,#REF!,5,0))/VLOOKUP(C42,#REF!,5,0)</f>
        <v>#REF!</v>
      </c>
      <c r="L42" s="48">
        <v>549407</v>
      </c>
      <c r="M42" s="48">
        <f t="shared" si="3"/>
        <v>3544.5612903225806</v>
      </c>
      <c r="N42" s="31">
        <v>0</v>
      </c>
      <c r="O42" s="32">
        <f t="shared" si="4"/>
        <v>483.53483870967733</v>
      </c>
    </row>
    <row r="43" spans="1:15" ht="15" x14ac:dyDescent="0.2">
      <c r="A43" s="54">
        <v>40</v>
      </c>
      <c r="C43" s="4" t="s">
        <v>79</v>
      </c>
      <c r="D43" s="1" t="s">
        <v>59</v>
      </c>
      <c r="E43" s="1">
        <v>2</v>
      </c>
      <c r="F43" s="56">
        <v>508651.25</v>
      </c>
      <c r="G43" s="57">
        <f t="shared" si="0"/>
        <v>8204.052419354839</v>
      </c>
      <c r="H43" s="26">
        <v>25701.3</v>
      </c>
      <c r="I43" s="28">
        <f t="shared" si="1"/>
        <v>414.53709677419351</v>
      </c>
      <c r="J43" s="29">
        <f t="shared" si="2"/>
        <v>5.052833350945269E-2</v>
      </c>
      <c r="K43" s="30" t="e">
        <f>(VLOOKUP(C43,$C$4:$J$47,5,0)-VLOOKUP(C43,#REF!,5,0))/VLOOKUP(C43,#REF!,5,0)</f>
        <v>#REF!</v>
      </c>
      <c r="L43" s="48">
        <v>451257</v>
      </c>
      <c r="M43" s="48">
        <f t="shared" si="3"/>
        <v>7278.3387096774195</v>
      </c>
      <c r="N43" s="31">
        <v>0</v>
      </c>
      <c r="O43" s="32">
        <f t="shared" si="4"/>
        <v>414.53709677419351</v>
      </c>
    </row>
    <row r="44" spans="1:15" ht="15" x14ac:dyDescent="0.2">
      <c r="A44" s="54">
        <v>41</v>
      </c>
      <c r="C44" s="4" t="s">
        <v>78</v>
      </c>
      <c r="D44" s="1" t="s">
        <v>35</v>
      </c>
      <c r="E44" s="1">
        <v>2</v>
      </c>
      <c r="F44" s="56">
        <v>472871.13</v>
      </c>
      <c r="G44" s="57">
        <f t="shared" si="0"/>
        <v>7626.9537096774193</v>
      </c>
      <c r="H44" s="26">
        <v>44087.83</v>
      </c>
      <c r="I44" s="28">
        <f t="shared" si="1"/>
        <v>711.09403225806454</v>
      </c>
      <c r="J44" s="29">
        <f t="shared" si="2"/>
        <v>9.3234344841479327E-2</v>
      </c>
      <c r="K44" s="30" t="e">
        <f>(VLOOKUP(C44,$C$4:$J$47,5,0)-VLOOKUP(C44,#REF!,5,0))/VLOOKUP(C44,#REF!,5,0)</f>
        <v>#REF!</v>
      </c>
      <c r="L44" s="48">
        <v>86139</v>
      </c>
      <c r="M44" s="48">
        <f t="shared" si="3"/>
        <v>1389.3387096774193</v>
      </c>
      <c r="N44" s="31">
        <v>0</v>
      </c>
      <c r="O44" s="32">
        <f t="shared" si="4"/>
        <v>711.09403225806454</v>
      </c>
    </row>
    <row r="45" spans="1:15" ht="15" x14ac:dyDescent="0.2">
      <c r="A45" s="54">
        <v>42</v>
      </c>
      <c r="C45" s="4" t="s">
        <v>26</v>
      </c>
      <c r="D45" s="1" t="s">
        <v>59</v>
      </c>
      <c r="E45" s="1">
        <v>1</v>
      </c>
      <c r="F45" s="56">
        <v>202280</v>
      </c>
      <c r="G45" s="57">
        <f t="shared" si="0"/>
        <v>6525.1612903225805</v>
      </c>
      <c r="H45" s="26">
        <v>17590.099999999999</v>
      </c>
      <c r="I45" s="28">
        <f t="shared" si="1"/>
        <v>567.42258064516125</v>
      </c>
      <c r="J45" s="29">
        <f t="shared" si="2"/>
        <v>8.6959165513150083E-2</v>
      </c>
      <c r="K45" s="30" t="e">
        <f>(VLOOKUP(C45,$C$4:$J$47,5,0)-VLOOKUP(C45,#REF!,5,0))/VLOOKUP(C45,#REF!,5,0)</f>
        <v>#REF!</v>
      </c>
      <c r="L45" s="48">
        <v>29163</v>
      </c>
      <c r="M45" s="48">
        <f t="shared" si="3"/>
        <v>940.74193548387098</v>
      </c>
      <c r="N45" s="31">
        <v>0</v>
      </c>
      <c r="O45" s="32">
        <f t="shared" si="4"/>
        <v>567.42258064516125</v>
      </c>
    </row>
    <row r="46" spans="1:15" ht="15" x14ac:dyDescent="0.2">
      <c r="A46" s="54">
        <v>43</v>
      </c>
      <c r="C46" s="4" t="s">
        <v>55</v>
      </c>
      <c r="D46" s="1" t="s">
        <v>35</v>
      </c>
      <c r="E46" s="1">
        <v>2</v>
      </c>
      <c r="F46" s="56">
        <v>233184.5</v>
      </c>
      <c r="G46" s="57">
        <f t="shared" si="0"/>
        <v>3761.0403225806454</v>
      </c>
      <c r="H46" s="26">
        <v>-7858.0999999999995</v>
      </c>
      <c r="I46" s="28">
        <f t="shared" si="1"/>
        <v>-126.74354838709677</v>
      </c>
      <c r="J46" s="29">
        <f t="shared" si="2"/>
        <v>-3.369906661892192E-2</v>
      </c>
      <c r="K46" s="30" t="e">
        <f>(VLOOKUP(C46,$C$4:$J$47,5,0)-VLOOKUP(C46,#REF!,5,0))/VLOOKUP(C46,#REF!,5,0)</f>
        <v>#REF!</v>
      </c>
      <c r="L46" s="48">
        <v>42295</v>
      </c>
      <c r="M46" s="48">
        <f t="shared" si="3"/>
        <v>682.17741935483866</v>
      </c>
      <c r="N46" s="31">
        <v>0</v>
      </c>
      <c r="O46" s="32">
        <f t="shared" si="4"/>
        <v>-126.74354838709677</v>
      </c>
    </row>
    <row r="47" spans="1:15" ht="15" x14ac:dyDescent="0.2">
      <c r="A47" s="54">
        <v>44</v>
      </c>
      <c r="C47" s="4" t="s">
        <v>55</v>
      </c>
      <c r="D47" s="1" t="s">
        <v>59</v>
      </c>
      <c r="E47" s="1">
        <v>4</v>
      </c>
      <c r="F47" s="56">
        <v>390342.9</v>
      </c>
      <c r="G47" s="57">
        <f t="shared" si="0"/>
        <v>3147.9266129032262</v>
      </c>
      <c r="H47" s="26">
        <v>34515.600000000006</v>
      </c>
      <c r="I47" s="28">
        <f t="shared" si="1"/>
        <v>278.35161290322583</v>
      </c>
      <c r="J47" s="29">
        <f t="shared" si="2"/>
        <v>8.8423793541524645E-2</v>
      </c>
      <c r="K47" s="30" t="e">
        <f>(VLOOKUP(C47,$C$4:$J$47,5,0)-VLOOKUP(C47,#REF!,5,0))/VLOOKUP(C47,#REF!,5,0)</f>
        <v>#REF!</v>
      </c>
      <c r="L47" s="48">
        <v>106995</v>
      </c>
      <c r="M47" s="48">
        <f t="shared" si="3"/>
        <v>862.86290322580646</v>
      </c>
      <c r="N47" s="31">
        <v>0</v>
      </c>
      <c r="O47" s="32">
        <f t="shared" si="4"/>
        <v>278.35161290322583</v>
      </c>
    </row>
    <row r="48" spans="1:15" ht="15.75" x14ac:dyDescent="0.25">
      <c r="C48" s="36" t="s">
        <v>34</v>
      </c>
      <c r="D48" s="36"/>
      <c r="E48" s="36">
        <f>SUM(E4:E47)</f>
        <v>216</v>
      </c>
      <c r="F48" s="37">
        <f>SUM(F4:F47)</f>
        <v>183619854.87</v>
      </c>
      <c r="G48" s="58">
        <f>AVERAGE(G4:G47)</f>
        <v>26741.406212509992</v>
      </c>
      <c r="H48" s="37">
        <f>SUM(H4:H47)</f>
        <v>10962119</v>
      </c>
      <c r="I48" s="58">
        <f>AVERAGE(I4:I47)</f>
        <v>1637.4587781036164</v>
      </c>
      <c r="J48" s="29">
        <f>H48/F48</f>
        <v>5.970007441603202E-2</v>
      </c>
      <c r="K48" s="30"/>
      <c r="L48" s="30"/>
      <c r="M48" s="30"/>
      <c r="O48" s="32"/>
    </row>
    <row r="49" spans="3:15" ht="15" x14ac:dyDescent="0.25">
      <c r="K49" s="44"/>
      <c r="L49" s="44"/>
      <c r="M49" s="44"/>
      <c r="N49" s="45" t="s">
        <v>37</v>
      </c>
      <c r="O49" s="45"/>
    </row>
    <row r="50" spans="3:15" ht="15" x14ac:dyDescent="0.25">
      <c r="C50" s="59"/>
      <c r="D50" s="59" t="s">
        <v>59</v>
      </c>
      <c r="E50" s="36">
        <f ca="1">SUMIF(D4:E47,D50,E4:E47)</f>
        <v>161</v>
      </c>
      <c r="G50" s="42">
        <f ca="1">AVERAGEIF(D4:G47,D50,G4:G47)</f>
        <v>30349.38956277672</v>
      </c>
      <c r="H50" s="40"/>
      <c r="I50" s="42">
        <f ca="1">AVERAGEIF(D4:I47,D50,I4:I47)</f>
        <v>1890.4491097406699</v>
      </c>
      <c r="K50" s="44"/>
      <c r="L50" s="44"/>
      <c r="M50" s="44"/>
      <c r="N50" s="45" t="s">
        <v>38</v>
      </c>
      <c r="O50" s="45"/>
    </row>
    <row r="51" spans="3:15" ht="15" x14ac:dyDescent="0.25">
      <c r="C51" s="59"/>
      <c r="D51" s="59" t="s">
        <v>35</v>
      </c>
      <c r="E51" s="36">
        <f ca="1">SUMIF(D4:E48,D51,E4:E48)</f>
        <v>55</v>
      </c>
      <c r="G51" s="42">
        <f ca="1">AVERAGEIF(D4:G48,D51,G4:G48)</f>
        <v>14474.262821603124</v>
      </c>
      <c r="H51" s="40"/>
      <c r="I51" s="42">
        <f ca="1">AVERAGEIF(D4:I48,D51,I4:I48)</f>
        <v>777.2916505376345</v>
      </c>
      <c r="J51" s="47"/>
      <c r="K51" s="46"/>
      <c r="L51" s="46"/>
      <c r="M51" s="46"/>
      <c r="N51" s="45" t="s">
        <v>39</v>
      </c>
      <c r="O51" s="45"/>
    </row>
  </sheetData>
  <mergeCells count="5">
    <mergeCell ref="A1:O1"/>
    <mergeCell ref="A2:D2"/>
    <mergeCell ref="N49:O49"/>
    <mergeCell ref="N50:O50"/>
    <mergeCell ref="N51:O51"/>
  </mergeCells>
  <conditionalFormatting sqref="K13">
    <cfRule type="iconSet" priority="286">
      <iconSet iconSet="3Arrows">
        <cfvo type="percent" val="0"/>
        <cfvo type="percent" val="33"/>
        <cfvo type="percent" val="67"/>
      </iconSet>
    </cfRule>
    <cfRule type="iconSet" priority="287">
      <iconSet iconSet="3Arrows">
        <cfvo type="percent" val="0"/>
        <cfvo type="percent" val="33"/>
        <cfvo type="percent" val="67"/>
      </iconSet>
    </cfRule>
    <cfRule type="iconSet" priority="288">
      <iconSet iconSet="3Arrows">
        <cfvo type="percent" val="0"/>
        <cfvo type="percent" val="33"/>
        <cfvo type="percent" val="67"/>
      </iconSet>
    </cfRule>
    <cfRule type="iconSet" priority="289">
      <iconSet iconSet="3Arrows">
        <cfvo type="percent" val="0"/>
        <cfvo type="percent" val="33"/>
        <cfvo type="percent" val="67"/>
      </iconSet>
    </cfRule>
    <cfRule type="iconSet" priority="298">
      <iconSet iconSet="3Arrows">
        <cfvo type="percent" val="0"/>
        <cfvo type="percent" val="33"/>
        <cfvo type="percent" val="67"/>
      </iconSet>
    </cfRule>
    <cfRule type="iconSet" priority="300">
      <iconSet iconSet="3Arrows">
        <cfvo type="percent" val="0"/>
        <cfvo type="percent" val="33"/>
        <cfvo type="percent" val="67"/>
      </iconSet>
    </cfRule>
  </conditionalFormatting>
  <conditionalFormatting sqref="K16">
    <cfRule type="iconSet" priority="301">
      <iconSet iconSet="3Arrows">
        <cfvo type="percent" val="0"/>
        <cfvo type="percent" val="33"/>
        <cfvo type="percent" val="67"/>
      </iconSet>
    </cfRule>
    <cfRule type="iconSet" priority="302">
      <iconSet iconSet="3Arrows">
        <cfvo type="percent" val="0"/>
        <cfvo type="percent" val="33"/>
        <cfvo type="percent" val="67"/>
      </iconSet>
    </cfRule>
    <cfRule type="iconSet" priority="303">
      <iconSet iconSet="3Arrows">
        <cfvo type="percent" val="0"/>
        <cfvo type="percent" val="33"/>
        <cfvo type="percent" val="67"/>
      </iconSet>
    </cfRule>
  </conditionalFormatting>
  <conditionalFormatting sqref="K17">
    <cfRule type="iconSet" priority="325">
      <iconSet iconSet="3Arrows">
        <cfvo type="percent" val="0"/>
        <cfvo type="percent" val="33"/>
        <cfvo type="percent" val="67"/>
      </iconSet>
    </cfRule>
    <cfRule type="iconSet" priority="327">
      <iconSet iconSet="3Arrows">
        <cfvo type="percent" val="0"/>
        <cfvo type="percent" val="33"/>
        <cfvo type="percent" val="67"/>
      </iconSet>
    </cfRule>
  </conditionalFormatting>
  <conditionalFormatting sqref="K19:K21">
    <cfRule type="iconSet" priority="261">
      <iconSet iconSet="3Arrows">
        <cfvo type="percent" val="0"/>
        <cfvo type="percent" val="33"/>
        <cfvo type="percent" val="67"/>
      </iconSet>
    </cfRule>
    <cfRule type="iconSet" priority="263">
      <iconSet iconSet="3Arrows">
        <cfvo type="percent" val="0"/>
        <cfvo type="percent" val="33"/>
        <cfvo type="percent" val="67"/>
      </iconSet>
    </cfRule>
    <cfRule type="iconSet" priority="266">
      <iconSet iconSet="3Arrows">
        <cfvo type="percent" val="0"/>
        <cfvo type="percent" val="33"/>
        <cfvo type="percent" val="67"/>
      </iconSet>
    </cfRule>
    <cfRule type="iconSet" priority="267">
      <iconSet iconSet="3Arrows">
        <cfvo type="percent" val="0"/>
        <cfvo type="percent" val="33"/>
        <cfvo type="percent" val="67"/>
      </iconSet>
    </cfRule>
  </conditionalFormatting>
  <conditionalFormatting sqref="K22">
    <cfRule type="iconSet" priority="65">
      <iconSet iconSet="3Arrows">
        <cfvo type="percent" val="0"/>
        <cfvo type="percent" val="33"/>
        <cfvo type="percent" val="67"/>
      </iconSet>
    </cfRule>
    <cfRule type="iconSet" priority="70">
      <iconSet iconSet="3Arrows">
        <cfvo type="percent" val="0"/>
        <cfvo type="percent" val="33"/>
        <cfvo type="percent" val="67"/>
      </iconSet>
    </cfRule>
    <cfRule type="iconSet" priority="74">
      <iconSet iconSet="3Arrows">
        <cfvo type="percent" val="0"/>
        <cfvo type="percent" val="33"/>
        <cfvo type="percent" val="67"/>
      </iconSet>
    </cfRule>
  </conditionalFormatting>
  <conditionalFormatting sqref="K27">
    <cfRule type="iconSet" priority="147">
      <iconSet iconSet="3Arrows">
        <cfvo type="percent" val="0"/>
        <cfvo type="percent" val="33"/>
        <cfvo type="percent" val="67"/>
      </iconSet>
    </cfRule>
    <cfRule type="iconSet" priority="148">
      <iconSet iconSet="3Arrows">
        <cfvo type="percent" val="0"/>
        <cfvo type="percent" val="33"/>
        <cfvo type="percent" val="67"/>
      </iconSet>
    </cfRule>
    <cfRule type="iconSet" priority="149">
      <iconSet iconSet="3Arrows">
        <cfvo type="percent" val="0"/>
        <cfvo type="percent" val="33"/>
        <cfvo type="percent" val="67"/>
      </iconSet>
    </cfRule>
  </conditionalFormatting>
  <conditionalFormatting sqref="K29">
    <cfRule type="iconSet" priority="158">
      <iconSet iconSet="3Arrows">
        <cfvo type="percent" val="0"/>
        <cfvo type="percent" val="33"/>
        <cfvo type="percent" val="67"/>
      </iconSet>
    </cfRule>
    <cfRule type="iconSet" priority="163">
      <iconSet iconSet="3Arrows">
        <cfvo type="percent" val="0"/>
        <cfvo type="percent" val="33"/>
        <cfvo type="percent" val="67"/>
      </iconSet>
    </cfRule>
    <cfRule type="iconSet" priority="167">
      <iconSet iconSet="3Arrows">
        <cfvo type="percent" val="0"/>
        <cfvo type="percent" val="33"/>
        <cfvo type="percent" val="67"/>
      </iconSet>
    </cfRule>
  </conditionalFormatting>
  <conditionalFormatting sqref="K31">
    <cfRule type="iconSet" priority="333">
      <iconSet iconSet="3Arrows">
        <cfvo type="percent" val="0"/>
        <cfvo type="percent" val="33"/>
        <cfvo type="percent" val="67"/>
      </iconSet>
    </cfRule>
    <cfRule type="iconSet" priority="335">
      <iconSet iconSet="3Arrows">
        <cfvo type="percent" val="0"/>
        <cfvo type="percent" val="33"/>
        <cfvo type="percent" val="67"/>
      </iconSet>
    </cfRule>
  </conditionalFormatting>
  <conditionalFormatting sqref="K32">
    <cfRule type="iconSet" priority="215">
      <iconSet iconSet="3Arrows">
        <cfvo type="percent" val="0"/>
        <cfvo type="percent" val="33"/>
        <cfvo type="percent" val="67"/>
      </iconSet>
    </cfRule>
    <cfRule type="iconSet" priority="217">
      <iconSet iconSet="3Arrows">
        <cfvo type="percent" val="0"/>
        <cfvo type="percent" val="33"/>
        <cfvo type="percent" val="67"/>
      </iconSet>
    </cfRule>
    <cfRule type="iconSet" priority="221">
      <iconSet iconSet="3Arrows">
        <cfvo type="percent" val="0"/>
        <cfvo type="percent" val="33"/>
        <cfvo type="percent" val="67"/>
      </iconSet>
    </cfRule>
    <cfRule type="iconSet" priority="222">
      <iconSet iconSet="3Arrows">
        <cfvo type="percent" val="0"/>
        <cfvo type="percent" val="33"/>
        <cfvo type="percent" val="67"/>
      </iconSet>
    </cfRule>
  </conditionalFormatting>
  <conditionalFormatting sqref="K33:K36 K15 K6:K7 K9:K12 K23:K26 K45:K46 K30 K28">
    <cfRule type="iconSet" priority="373">
      <iconSet iconSet="3Arrows">
        <cfvo type="percent" val="0"/>
        <cfvo type="percent" val="33"/>
        <cfvo type="percent" val="67"/>
      </iconSet>
    </cfRule>
  </conditionalFormatting>
  <conditionalFormatting sqref="K33:K38 K17 K5:K12 K14:K15 K23:K26 K30:K31 K28">
    <cfRule type="iconSet" priority="378">
      <iconSet iconSet="3Arrows">
        <cfvo type="percent" val="0"/>
        <cfvo type="percent" val="33"/>
        <cfvo type="percent" val="67"/>
      </iconSet>
    </cfRule>
  </conditionalFormatting>
  <conditionalFormatting sqref="K37">
    <cfRule type="iconSet" priority="350">
      <iconSet iconSet="3Arrows">
        <cfvo type="percent" val="0"/>
        <cfvo type="percent" val="33"/>
        <cfvo type="percent" val="67"/>
      </iconSet>
    </cfRule>
    <cfRule type="iconSet" priority="353">
      <iconSet iconSet="3Arrows">
        <cfvo type="percent" val="0"/>
        <cfvo type="percent" val="33"/>
        <cfvo type="percent" val="67"/>
      </iconSet>
    </cfRule>
  </conditionalFormatting>
  <conditionalFormatting sqref="K38">
    <cfRule type="iconSet" priority="338">
      <iconSet iconSet="3Arrows">
        <cfvo type="percent" val="0"/>
        <cfvo type="percent" val="33"/>
        <cfvo type="percent" val="67"/>
      </iconSet>
    </cfRule>
    <cfRule type="iconSet" priority="341">
      <iconSet iconSet="3Arrows">
        <cfvo type="percent" val="0"/>
        <cfvo type="percent" val="33"/>
        <cfvo type="percent" val="67"/>
      </iconSet>
    </cfRule>
    <cfRule type="iconSet" priority="343">
      <iconSet iconSet="3Arrows">
        <cfvo type="percent" val="0"/>
        <cfvo type="percent" val="33"/>
        <cfvo type="percent" val="67"/>
      </iconSet>
    </cfRule>
  </conditionalFormatting>
  <conditionalFormatting sqref="K39">
    <cfRule type="iconSet" priority="104">
      <iconSet iconSet="3Arrows">
        <cfvo type="percent" val="0"/>
        <cfvo type="percent" val="33"/>
        <cfvo type="percent" val="67"/>
      </iconSet>
    </cfRule>
    <cfRule type="iconSet" priority="105">
      <iconSet iconSet="3Arrows">
        <cfvo type="percent" val="0"/>
        <cfvo type="percent" val="33"/>
        <cfvo type="percent" val="67"/>
      </iconSet>
    </cfRule>
    <cfRule type="iconSet" priority="106">
      <iconSet iconSet="3Arrows">
        <cfvo type="percent" val="0"/>
        <cfvo type="percent" val="33"/>
        <cfvo type="percent" val="67"/>
      </iconSet>
    </cfRule>
    <cfRule type="iconSet" priority="107">
      <iconSet iconSet="3Arrows">
        <cfvo type="percent" val="0"/>
        <cfvo type="percent" val="33"/>
        <cfvo type="percent" val="67"/>
      </iconSet>
    </cfRule>
    <cfRule type="iconSet" priority="108">
      <iconSet iconSet="3Arrows">
        <cfvo type="percent" val="0"/>
        <cfvo type="percent" val="33"/>
        <cfvo type="percent" val="67"/>
      </iconSet>
    </cfRule>
    <cfRule type="iconSet" priority="109">
      <iconSet iconSet="3Arrows">
        <cfvo type="percent" val="0"/>
        <cfvo type="percent" val="33"/>
        <cfvo type="percent" val="67"/>
      </iconSet>
    </cfRule>
    <cfRule type="iconSet" priority="110">
      <iconSet iconSet="3Arrows">
        <cfvo type="percent" val="0"/>
        <cfvo type="percent" val="33"/>
        <cfvo type="percent" val="67"/>
      </iconSet>
    </cfRule>
    <cfRule type="iconSet" priority="111">
      <iconSet iconSet="3Arrows">
        <cfvo type="percent" val="0"/>
        <cfvo type="percent" val="33"/>
        <cfvo type="percent" val="67"/>
      </iconSet>
    </cfRule>
    <cfRule type="iconSet" priority="275">
      <iconSet iconSet="3Arrows">
        <cfvo type="percent" val="0"/>
        <cfvo type="percent" val="33"/>
        <cfvo type="percent" val="67"/>
      </iconSet>
    </cfRule>
    <cfRule type="iconSet" priority="278">
      <iconSet iconSet="3Arrows">
        <cfvo type="percent" val="0"/>
        <cfvo type="percent" val="33"/>
        <cfvo type="percent" val="67"/>
      </iconSet>
    </cfRule>
    <cfRule type="iconSet" priority="280">
      <iconSet iconSet="3Arrows">
        <cfvo type="percent" val="0"/>
        <cfvo type="percent" val="33"/>
        <cfvo type="percent" val="67"/>
      </iconSet>
    </cfRule>
    <cfRule type="iconSet" priority="282">
      <iconSet iconSet="3Arrows">
        <cfvo type="percent" val="0"/>
        <cfvo type="percent" val="33"/>
        <cfvo type="percent" val="67"/>
      </iconSet>
    </cfRule>
    <cfRule type="iconSet" priority="284">
      <iconSet iconSet="3Arrows">
        <cfvo type="percent" val="0"/>
        <cfvo type="percent" val="33"/>
        <cfvo type="percent" val="67"/>
      </iconSet>
    </cfRule>
  </conditionalFormatting>
  <conditionalFormatting sqref="K40">
    <cfRule type="iconSet" priority="90">
      <iconSet iconSet="3Arrows">
        <cfvo type="percent" val="0"/>
        <cfvo type="percent" val="33"/>
        <cfvo type="percent" val="67"/>
      </iconSet>
    </cfRule>
    <cfRule type="iconSet" priority="91">
      <iconSet iconSet="3Arrows">
        <cfvo type="percent" val="0"/>
        <cfvo type="percent" val="33"/>
        <cfvo type="percent" val="67"/>
      </iconSet>
    </cfRule>
    <cfRule type="iconSet" priority="92">
      <iconSet iconSet="3Arrows">
        <cfvo type="percent" val="0"/>
        <cfvo type="percent" val="33"/>
        <cfvo type="percent" val="67"/>
      </iconSet>
    </cfRule>
    <cfRule type="iconSet" priority="93">
      <iconSet iconSet="3Arrows">
        <cfvo type="percent" val="0"/>
        <cfvo type="percent" val="33"/>
        <cfvo type="percent" val="67"/>
      </iconSet>
    </cfRule>
    <cfRule type="iconSet" priority="94">
      <iconSet iconSet="3Arrows">
        <cfvo type="percent" val="0"/>
        <cfvo type="percent" val="33"/>
        <cfvo type="percent" val="67"/>
      </iconSet>
    </cfRule>
    <cfRule type="iconSet" priority="95">
      <iconSet iconSet="3Arrows">
        <cfvo type="percent" val="0"/>
        <cfvo type="percent" val="33"/>
        <cfvo type="percent" val="67"/>
      </iconSet>
    </cfRule>
    <cfRule type="iconSet" priority="96">
      <iconSet iconSet="3Arrows">
        <cfvo type="percent" val="0"/>
        <cfvo type="percent" val="33"/>
        <cfvo type="percent" val="67"/>
      </iconSet>
    </cfRule>
    <cfRule type="iconSet" priority="97">
      <iconSet iconSet="3Arrows">
        <cfvo type="percent" val="0"/>
        <cfvo type="percent" val="33"/>
        <cfvo type="percent" val="67"/>
      </iconSet>
    </cfRule>
    <cfRule type="iconSet" priority="98">
      <iconSet iconSet="3Arrows">
        <cfvo type="percent" val="0"/>
        <cfvo type="percent" val="33"/>
        <cfvo type="percent" val="67"/>
      </iconSet>
    </cfRule>
    <cfRule type="iconSet" priority="99">
      <iconSet iconSet="3Arrows">
        <cfvo type="percent" val="0"/>
        <cfvo type="percent" val="33"/>
        <cfvo type="percent" val="67"/>
      </iconSet>
    </cfRule>
    <cfRule type="iconSet" priority="100">
      <iconSet iconSet="3Arrows">
        <cfvo type="percent" val="0"/>
        <cfvo type="percent" val="33"/>
        <cfvo type="percent" val="67"/>
      </iconSet>
    </cfRule>
    <cfRule type="iconSet" priority="101">
      <iconSet iconSet="3Arrows">
        <cfvo type="percent" val="0"/>
        <cfvo type="percent" val="33"/>
        <cfvo type="percent" val="67"/>
      </iconSet>
    </cfRule>
    <cfRule type="iconSet" priority="102">
      <iconSet iconSet="3Arrows">
        <cfvo type="percent" val="0"/>
        <cfvo type="percent" val="33"/>
        <cfvo type="percent" val="67"/>
      </iconSet>
    </cfRule>
    <cfRule type="iconSet" priority="103">
      <iconSet iconSet="3Arrows">
        <cfvo type="percent" val="0"/>
        <cfvo type="percent" val="33"/>
        <cfvo type="percent" val="67"/>
      </iconSet>
    </cfRule>
  </conditionalFormatting>
  <conditionalFormatting sqref="K41">
    <cfRule type="iconSet" priority="232">
      <iconSet iconSet="3Arrows">
        <cfvo type="percent" val="0"/>
        <cfvo type="percent" val="33"/>
        <cfvo type="percent" val="67"/>
      </iconSet>
    </cfRule>
    <cfRule type="iconSet" priority="235">
      <iconSet iconSet="3Arrows">
        <cfvo type="percent" val="0"/>
        <cfvo type="percent" val="33"/>
        <cfvo type="percent" val="67"/>
      </iconSet>
    </cfRule>
    <cfRule type="iconSet" priority="237">
      <iconSet iconSet="3Arrows">
        <cfvo type="percent" val="0"/>
        <cfvo type="percent" val="33"/>
        <cfvo type="percent" val="67"/>
      </iconSet>
    </cfRule>
    <cfRule type="iconSet" priority="239">
      <iconSet iconSet="3Arrows">
        <cfvo type="percent" val="0"/>
        <cfvo type="percent" val="33"/>
        <cfvo type="percent" val="67"/>
      </iconSet>
    </cfRule>
    <cfRule type="iconSet" priority="241">
      <iconSet iconSet="3Arrows">
        <cfvo type="percent" val="0"/>
        <cfvo type="percent" val="33"/>
        <cfvo type="percent" val="67"/>
      </iconSet>
    </cfRule>
    <cfRule type="iconSet" priority="242">
      <iconSet iconSet="3Arrows">
        <cfvo type="percent" val="0"/>
        <cfvo type="percent" val="33"/>
        <cfvo type="percent" val="67"/>
      </iconSet>
    </cfRule>
  </conditionalFormatting>
  <conditionalFormatting sqref="K42">
    <cfRule type="iconSet" priority="76">
      <iconSet iconSet="3Arrows">
        <cfvo type="percent" val="0"/>
        <cfvo type="percent" val="33"/>
        <cfvo type="percent" val="67"/>
      </iconSet>
    </cfRule>
    <cfRule type="iconSet" priority="77">
      <iconSet iconSet="3Arrows">
        <cfvo type="percent" val="0"/>
        <cfvo type="percent" val="33"/>
        <cfvo type="percent" val="67"/>
      </iconSet>
    </cfRule>
    <cfRule type="iconSet" priority="78">
      <iconSet iconSet="3Arrows">
        <cfvo type="percent" val="0"/>
        <cfvo type="percent" val="33"/>
        <cfvo type="percent" val="67"/>
      </iconSet>
    </cfRule>
    <cfRule type="iconSet" priority="79">
      <iconSet iconSet="3Arrows">
        <cfvo type="percent" val="0"/>
        <cfvo type="percent" val="33"/>
        <cfvo type="percent" val="67"/>
      </iconSet>
    </cfRule>
    <cfRule type="iconSet" priority="80">
      <iconSet iconSet="3Arrows">
        <cfvo type="percent" val="0"/>
        <cfvo type="percent" val="33"/>
        <cfvo type="percent" val="67"/>
      </iconSet>
    </cfRule>
    <cfRule type="iconSet" priority="81">
      <iconSet iconSet="3Arrows">
        <cfvo type="percent" val="0"/>
        <cfvo type="percent" val="33"/>
        <cfvo type="percent" val="67"/>
      </iconSet>
    </cfRule>
    <cfRule type="iconSet" priority="82">
      <iconSet iconSet="3Arrows">
        <cfvo type="percent" val="0"/>
        <cfvo type="percent" val="33"/>
        <cfvo type="percent" val="67"/>
      </iconSet>
    </cfRule>
    <cfRule type="iconSet" priority="83">
      <iconSet iconSet="3Arrows">
        <cfvo type="percent" val="0"/>
        <cfvo type="percent" val="33"/>
        <cfvo type="percent" val="67"/>
      </iconSet>
    </cfRule>
    <cfRule type="iconSet" priority="84">
      <iconSet iconSet="3Arrows">
        <cfvo type="percent" val="0"/>
        <cfvo type="percent" val="33"/>
        <cfvo type="percent" val="67"/>
      </iconSet>
    </cfRule>
    <cfRule type="iconSet" priority="85">
      <iconSet iconSet="3Arrows">
        <cfvo type="percent" val="0"/>
        <cfvo type="percent" val="33"/>
        <cfvo type="percent" val="67"/>
      </iconSet>
    </cfRule>
    <cfRule type="iconSet" priority="86">
      <iconSet iconSet="3Arrows">
        <cfvo type="percent" val="0"/>
        <cfvo type="percent" val="33"/>
        <cfvo type="percent" val="67"/>
      </iconSet>
    </cfRule>
    <cfRule type="iconSet" priority="87">
      <iconSet iconSet="3Arrows">
        <cfvo type="percent" val="0"/>
        <cfvo type="percent" val="33"/>
        <cfvo type="percent" val="67"/>
      </iconSet>
    </cfRule>
    <cfRule type="iconSet" priority="88">
      <iconSet iconSet="3Arrows">
        <cfvo type="percent" val="0"/>
        <cfvo type="percent" val="33"/>
        <cfvo type="percent" val="67"/>
      </iconSet>
    </cfRule>
    <cfRule type="iconSet" priority="89">
      <iconSet iconSet="3Arrows">
        <cfvo type="percent" val="0"/>
        <cfvo type="percent" val="33"/>
        <cfvo type="percent" val="67"/>
      </iconSet>
    </cfRule>
  </conditionalFormatting>
  <conditionalFormatting sqref="K43">
    <cfRule type="iconSet" priority="356">
      <iconSet iconSet="3Arrows">
        <cfvo type="percent" val="0"/>
        <cfvo type="percent" val="33"/>
        <cfvo type="percent" val="67"/>
      </iconSet>
    </cfRule>
    <cfRule type="iconSet" priority="359">
      <iconSet iconSet="3Arrows">
        <cfvo type="percent" val="0"/>
        <cfvo type="percent" val="33"/>
        <cfvo type="percent" val="67"/>
      </iconSet>
    </cfRule>
  </conditionalFormatting>
  <conditionalFormatting sqref="K44">
    <cfRule type="iconSet" priority="169">
      <iconSet iconSet="3Arrows">
        <cfvo type="percent" val="0"/>
        <cfvo type="percent" val="33"/>
        <cfvo type="percent" val="67"/>
      </iconSet>
    </cfRule>
    <cfRule type="iconSet" priority="170">
      <iconSet iconSet="3Arrows">
        <cfvo type="percent" val="0"/>
        <cfvo type="percent" val="33"/>
        <cfvo type="percent" val="67"/>
      </iconSet>
    </cfRule>
    <cfRule type="iconSet" priority="171">
      <iconSet iconSet="3Arrows">
        <cfvo type="percent" val="0"/>
        <cfvo type="percent" val="33"/>
        <cfvo type="percent" val="67"/>
      </iconSet>
    </cfRule>
  </conditionalFormatting>
  <conditionalFormatting sqref="K45">
    <cfRule type="iconSet" priority="188">
      <iconSet iconSet="3Arrows">
        <cfvo type="percent" val="0"/>
        <cfvo type="percent" val="33"/>
        <cfvo type="percent" val="67"/>
      </iconSet>
    </cfRule>
  </conditionalFormatting>
  <conditionalFormatting sqref="K47">
    <cfRule type="iconSet" priority="198">
      <iconSet iconSet="3Arrows">
        <cfvo type="percent" val="0"/>
        <cfvo type="percent" val="33"/>
        <cfvo type="percent" val="67"/>
      </iconSet>
    </cfRule>
    <cfRule type="iconSet" priority="202">
      <iconSet iconSet="3Arrows">
        <cfvo type="percent" val="0"/>
        <cfvo type="percent" val="33"/>
        <cfvo type="percent" val="67"/>
      </iconSet>
    </cfRule>
  </conditionalFormatting>
  <conditionalFormatting sqref="K48:M48">
    <cfRule type="iconSet" priority="382">
      <iconSet iconSet="3Arrows">
        <cfvo type="percent" val="0"/>
        <cfvo type="percent" val="33"/>
        <cfvo type="percent" val="67"/>
      </iconSet>
    </cfRule>
    <cfRule type="iconSet" priority="383">
      <iconSet iconSet="3Arrows">
        <cfvo type="percent" val="0"/>
        <cfvo type="percent" val="33"/>
        <cfvo type="percent" val="67"/>
      </iconSet>
    </cfRule>
  </conditionalFormatting>
  <conditionalFormatting sqref="O3:O9 O43 O23:O28 O33:O39 O45:O46 O30:O31 O11:O17">
    <cfRule type="dataBar" priority="3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{A6BE4154-19E1-4CC8-8FEA-F73621AE5B60}</x14:id>
        </ext>
      </extLst>
    </cfRule>
  </conditionalFormatting>
  <conditionalFormatting sqref="O4:O5">
    <cfRule type="dataBar" priority="3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{2F246B3B-2CD8-457A-8C6B-42BB29D35EC8}</x14:id>
        </ext>
      </extLst>
    </cfRule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{94227BE6-ABE0-4EA2-9DDE-AF981F328AD1}</x14:id>
        </ext>
      </extLst>
    </cfRule>
    <cfRule type="dataBar" priority="3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{0AF97633-94DD-4947-B49E-145B451BD9FF}</x14:id>
        </ext>
      </extLst>
    </cfRule>
    <cfRule type="dataBar" priority="3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{7E23872B-A55E-4FB2-A215-A4494BDF2D3E}</x14:id>
        </ext>
      </extLst>
    </cfRule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{098C0583-0D77-4D04-974D-FBB313AFECE6}</x14:id>
        </ext>
      </extLst>
    </cfRule>
    <cfRule type="dataBar" priority="3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{E887AEDE-7E70-44BC-9060-A47A1470CCAB}</x14:id>
        </ext>
      </extLst>
    </cfRule>
    <cfRule type="dataBar" priority="3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{5192C7A9-CFF0-4DF9-9DFC-48B03101B8DC}</x14:id>
        </ext>
      </extLst>
    </cfRule>
    <cfRule type="dataBar" priority="3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{66002FC5-E8A4-45C2-8A15-3E079374729F}</x14:id>
        </ext>
      </extLst>
    </cfRule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{BCA0E8B7-FFDB-4BBB-915C-865F72DE8651}</x14:id>
        </ext>
      </extLst>
    </cfRule>
  </conditionalFormatting>
  <conditionalFormatting sqref="O4:O7 O45 O23:O28 O15 O33:O36 O9 O30 O11:O12">
    <cfRule type="dataBar" priority="3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{4CBF1A74-2269-439E-8278-A7A33BA77457}</x14:id>
        </ext>
      </extLst>
    </cfRule>
  </conditionalFormatting>
  <conditionalFormatting sqref="O4:O9 O43 O14:O17 O23:O28 O33:O38 O45:O46 O30:O31 O11:O12">
    <cfRule type="dataBar" priority="3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{37EAF773-98BE-48CC-B122-A14847597AE7}</x14:id>
        </ext>
      </extLst>
    </cfRule>
  </conditionalFormatting>
  <conditionalFormatting sqref="O4:O9 O43 O23:O28 O33:O38 O45:O46 O30:O31 O11:O17">
    <cfRule type="dataBar" priority="2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{541D5EEC-023A-4C13-906E-4784FD541143}</x14:id>
        </ext>
      </extLst>
    </cfRule>
  </conditionalFormatting>
  <conditionalFormatting sqref="O4:O9 O43 O23:O28 O33:O39 O45:O46 O30:O31 O11:O17">
    <cfRule type="dataBar" priority="3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{A3118CE4-4F24-430A-B6DA-63379EC724E9}</x14:id>
        </ext>
      </extLst>
    </cfRule>
  </conditionalFormatting>
  <conditionalFormatting sqref="O4:O9 O41 O43:O47 O23:O39 O19:O21 O11:O17">
    <cfRule type="dataBar" priority="1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{ECE41096-C35A-438D-BD9B-055953B65F9B}</x14:id>
        </ext>
      </extLst>
    </cfRule>
  </conditionalFormatting>
  <conditionalFormatting sqref="O4:O9 O43 O33:O39 O45:O46 O30:O31 O23:O28 O19:O21 O11:O17">
    <cfRule type="dataBar" priority="2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{9612842A-46A8-425B-B563-ACBFF2A46459}</x14:id>
        </ext>
      </extLst>
    </cfRule>
  </conditionalFormatting>
  <conditionalFormatting sqref="O13">
    <cfRule type="dataBar" priority="2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{906D0AA5-2D3C-4B8B-AAC7-7715D904E691}</x14:id>
        </ext>
      </extLst>
    </cfRule>
    <cfRule type="dataBar" priority="2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{898CA176-4D08-44BB-88B0-9342A8AB73AE}</x14:id>
        </ext>
      </extLst>
    </cfRule>
    <cfRule type="dataBar" priority="2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{A8D4144E-A07F-4CA0-BB4A-CAAB248375AD}</x14:id>
        </ext>
      </extLst>
    </cfRule>
    <cfRule type="dataBar" priority="2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{7F50C9E1-4105-4D43-AE46-C801B70699CC}</x14:id>
        </ext>
      </extLst>
    </cfRule>
    <cfRule type="dataBar" priority="2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{88C50168-7F6C-4FA3-8706-24A71ADDF224}</x14:id>
        </ext>
      </extLst>
    </cfRule>
    <cfRule type="dataBar" priority="2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{723D92A8-D8A0-4045-AA51-F2E848CBB3A4}</x14:id>
        </ext>
      </extLst>
    </cfRule>
    <cfRule type="dataBar" priority="2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{BF8A90D5-8A7D-480F-B975-F8579198240F}</x14:id>
        </ext>
      </extLst>
    </cfRule>
    <cfRule type="dataBar" priority="2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{89C12A4B-142D-4F0C-BEAD-280849D62092}</x14:id>
        </ext>
      </extLst>
    </cfRule>
    <cfRule type="dataBar" priority="2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{8B182248-B586-422D-8995-19ADE6985B1C}</x14:id>
        </ext>
      </extLst>
    </cfRule>
  </conditionalFormatting>
  <conditionalFormatting sqref="O14">
    <cfRule type="dataBar" priority="3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{87E0C454-AFDB-4757-A5CC-FB4E7314936F}</x14:id>
        </ext>
      </extLst>
    </cfRule>
    <cfRule type="dataBar" priority="3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{70791FEB-8171-439F-8A83-78AF1FE44C57}</x14:id>
        </ext>
      </extLst>
    </cfRule>
    <cfRule type="dataBar" priority="3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{684B6889-BA18-4AA4-B426-32330D8AFEA5}</x14:id>
        </ext>
      </extLst>
    </cfRule>
    <cfRule type="dataBar" priority="3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{A57FB55F-2158-4E60-B600-7EE2E467CC7B}</x14:id>
        </ext>
      </extLst>
    </cfRule>
    <cfRule type="dataBar" priority="3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{3D901CF1-9F03-4880-BCE8-025B23AFDA00}</x14:id>
        </ext>
      </extLst>
    </cfRule>
  </conditionalFormatting>
  <conditionalFormatting sqref="O16">
    <cfRule type="dataBar" priority="3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{A428FBD4-A6B8-4551-972F-5A94271B3E45}</x14:id>
        </ext>
      </extLst>
    </cfRule>
    <cfRule type="dataBar" priority="3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{7E9355D8-92DA-47E2-A621-9007799E5E39}</x14:id>
        </ext>
      </extLst>
    </cfRule>
    <cfRule type="dataBar" priority="3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{1398FCED-0D7B-4E03-894F-67A21800FF27}</x14:id>
        </ext>
      </extLst>
    </cfRule>
    <cfRule type="dataBar" priority="3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{51E29D70-A62C-4AA0-92CE-882C8410CE94}</x14:id>
        </ext>
      </extLst>
    </cfRule>
    <cfRule type="dataBar" priority="3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{010C2CC0-B8E0-484C-88D4-B4C8472DEDEC}</x14:id>
        </ext>
      </extLst>
    </cfRule>
    <cfRule type="dataBar" priority="3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{EA5F7E18-6AE4-4909-9F6B-3E684F438133}</x14:id>
        </ext>
      </extLst>
    </cfRule>
    <cfRule type="dataBar" priority="3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{B22DF16F-7ADD-4297-8705-07B185A31891}</x14:id>
        </ext>
      </extLst>
    </cfRule>
  </conditionalFormatting>
  <conditionalFormatting sqref="O17">
    <cfRule type="dataBar" priority="3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{0C5BCCCB-93BC-4264-B8C1-F877AD60F539}</x14:id>
        </ext>
      </extLst>
    </cfRule>
    <cfRule type="dataBar" priority="3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{0B277C0D-9F2E-4236-9711-7E151722DC54}</x14:id>
        </ext>
      </extLst>
    </cfRule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{93590094-499B-4A99-A46E-095322ADBCC3}</x14:id>
        </ext>
      </extLst>
    </cfRule>
    <cfRule type="dataBar" priority="3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{2EB76C68-D3E5-4824-8246-8F109D3B7DF8}</x14:id>
        </ext>
      </extLst>
    </cfRule>
    <cfRule type="dataBar" priority="3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{CB43DFD5-626E-4330-92E1-A9BF5DD615E2}</x14:id>
        </ext>
      </extLst>
    </cfRule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{940D9860-518F-48C7-AB31-D0DF008CFA9D}</x14:id>
        </ext>
      </extLst>
    </cfRule>
    <cfRule type="dataBar" priority="3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{8C6343E2-8EAB-499A-9F0D-DBB0CB4B6AB3}</x14:id>
        </ext>
      </extLst>
    </cfRule>
    <cfRule type="dataBar" priority="3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{A3302E12-4969-4F44-A4EB-A7BDDFBD8A02}</x14:id>
        </ext>
      </extLst>
    </cfRule>
    <cfRule type="dataBar" priority="3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{2CD753E2-58B5-42DE-A04F-09DD11131EA1}</x14:id>
        </ext>
      </extLst>
    </cfRule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{D8F774DD-8FC2-4BDA-B1C3-90E61C39FAE7}</x14:id>
        </ext>
      </extLst>
    </cfRule>
    <cfRule type="dataBar" priority="3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{269DEF9F-142F-4FAE-BD51-C59EC1EA9B56}</x14:id>
        </ext>
      </extLst>
    </cfRule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{F976BD56-D809-4FB6-A345-737B98FC9214}</x14:id>
        </ext>
      </extLst>
    </cfRule>
    <cfRule type="dataBar" priority="3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{E13317E6-E254-4FBB-ADD7-3A256AE83765}</x14:id>
        </ext>
      </extLst>
    </cfRule>
  </conditionalFormatting>
  <conditionalFormatting sqref="O19:O21">
    <cfRule type="dataBar" priority="2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{653A92F0-0B83-49A3-B368-28ACB949ADC2}</x14:id>
        </ext>
      </extLst>
    </cfRule>
    <cfRule type="dataBar" priority="2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{648F92CF-3A35-4170-9A72-CA3E74C4AE47}</x14:id>
        </ext>
      </extLst>
    </cfRule>
    <cfRule type="dataBar" priority="2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{5F573FA6-13A2-4109-9773-B9F0F800FBB8}</x14:id>
        </ext>
      </extLst>
    </cfRule>
    <cfRule type="dataBar" priority="2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{4EFD2677-FED9-45DE-897B-11DAA90A16DE}</x14:id>
        </ext>
      </extLst>
    </cfRule>
    <cfRule type="dataBar" priority="2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{2E278A39-D935-4EA2-AA48-2C1D2AC1A4DF}</x14:id>
        </ext>
      </extLst>
    </cfRule>
    <cfRule type="dataBar" priority="2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{1E438F8E-B11B-4284-9412-6F43760CE824}</x14:id>
        </ext>
      </extLst>
    </cfRule>
    <cfRule type="dataBar" priority="2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{ECC85332-BD0F-45AB-BEE2-5ED479C94442}</x14:id>
        </ext>
      </extLst>
    </cfRule>
    <cfRule type="dataBar" priority="2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{823F86C8-1188-4F42-9207-3AA98A9EBCB3}</x14:id>
        </ext>
      </extLst>
    </cfRule>
    <cfRule type="dataBar" priority="2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{7C0E840A-BAEC-4271-98E1-68CDE7B12F07}</x14:id>
        </ext>
      </extLst>
    </cfRule>
    <cfRule type="dataBar" priority="2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{A0B40E28-A22B-495F-8A1D-0EBA7D0553D9}</x14:id>
        </ext>
      </extLst>
    </cfRule>
    <cfRule type="dataBar" priority="2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{517CFB7F-57FA-4A6E-A3DA-E30F6F5ACDB6}</x14:id>
        </ext>
      </extLst>
    </cfRule>
    <cfRule type="dataBar" priority="2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{F7D7CA9B-09AE-4A5F-ABAE-F2990E73F798}</x14:id>
        </ext>
      </extLst>
    </cfRule>
    <cfRule type="dataBar" priority="2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{562BC3C7-577D-4885-8A52-361F2447DC53}</x14:id>
        </ext>
      </extLst>
    </cfRule>
    <cfRule type="dataBar" priority="2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{06956FCA-BF15-48B5-8073-A1B3FB9A87F4}</x14:id>
        </ext>
      </extLst>
    </cfRule>
    <cfRule type="dataBar" priority="2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{19F3264C-BF2B-46A1-B4AB-9ADD31DD4CC9}</x14:id>
        </ext>
      </extLst>
    </cfRule>
    <cfRule type="dataBar" priority="2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{11AFD962-BB4E-4AE4-9D27-28A73CE9B53A}</x14:id>
        </ext>
      </extLst>
    </cfRule>
    <cfRule type="dataBar" priority="2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{E21410A1-A0CD-42B1-9E0E-62303BA88A77}</x14:id>
        </ext>
      </extLst>
    </cfRule>
    <cfRule type="dataBar" priority="2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{BB2D2BEA-4C1F-4C6D-A2ED-10E03CD5A156}</x14:id>
        </ext>
      </extLst>
    </cfRule>
    <cfRule type="dataBar" priority="2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{9359F46E-98D0-4CAD-806F-4163DE9930BE}</x14:id>
        </ext>
      </extLst>
    </cfRule>
    <cfRule type="dataBar" priority="2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{93290CA8-E153-4F46-9BB9-E8CABED2D309}</x14:id>
        </ext>
      </extLst>
    </cfRule>
  </conditionalFormatting>
  <conditionalFormatting sqref="O22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{93E603A0-AE15-40A8-B65D-B20E74E3B800}</x14:id>
        </ext>
      </extLst>
    </cfRule>
    <cfRule type="dataBar" priority="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{E7D6B902-A719-44D7-80D7-D1AF1D14BCFB}</x14:id>
        </ext>
      </extLst>
    </cfRule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{F2594744-964A-4933-B1DE-B2D409797BC9}</x14:id>
        </ext>
      </extLst>
    </cfRule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{ED92EC4A-0FAD-4047-8B86-19356B89823F}</x14:id>
        </ext>
      </extLst>
    </cfRule>
    <cfRule type="dataBar" priority="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{1F3CF7F0-E1CD-4D25-8E4A-47D21FEF712C}</x14:id>
        </ext>
      </extLst>
    </cfRule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{5365842D-5CFE-4EE8-891B-AE94544B618E}</x14:id>
        </ext>
      </extLst>
    </cfRule>
    <cfRule type="dataBar" priority="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{3788BBE0-7EDE-41AC-BC71-7E790E520FA1}</x14:id>
        </ext>
      </extLst>
    </cfRule>
    <cfRule type="dataBar" priority="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{8F2960D1-B1FB-44D7-9DBA-2865D8A21D23}</x14:id>
        </ext>
      </extLst>
    </cfRule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{8598D6D2-908A-4A28-94DE-4B1E902E6FA5}</x14:id>
        </ext>
      </extLst>
    </cfRule>
    <cfRule type="dataBar" priority="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{FDE98BA5-B937-469A-9AC4-C511E9D03042}</x14:id>
        </ext>
      </extLst>
    </cfRule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{90F6C278-86BB-4F5E-A31E-3A4831B79776}</x14:id>
        </ext>
      </extLst>
    </cfRule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{0C5D160E-876F-4440-85DB-5546ABA7B222}</x14:id>
        </ext>
      </extLst>
    </cfRule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{3219AB18-0428-4AE1-9437-8579BC84991B}</x14:id>
        </ext>
      </extLst>
    </cfRule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{871993A7-5537-4B8F-9DA8-939B4472419B}</x14:id>
        </ext>
      </extLst>
    </cfRule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{095221F0-1781-4E7E-B6B2-19063195EB09}</x14:id>
        </ext>
      </extLst>
    </cfRule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{819C4937-3759-434A-B9B4-E29C063DA2B9}</x14:id>
        </ext>
      </extLst>
    </cfRule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{7997C800-1D24-4AF2-BC21-C84B92B9E982}</x14:id>
        </ext>
      </extLst>
    </cfRule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{DBDC4F37-CEF4-441F-826F-DE4F3CB25370}</x14:id>
        </ext>
      </extLst>
    </cfRule>
  </conditionalFormatting>
  <conditionalFormatting sqref="O23:O28 O43 O4:O7 O15 O33:O36 O9 O45:O46 O30 O11:O12">
    <cfRule type="dataBar" priority="3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{F1575012-A20C-41C2-B8D9-3485888F8791}</x14:id>
        </ext>
      </extLst>
    </cfRule>
  </conditionalFormatting>
  <conditionalFormatting sqref="O29">
    <cfRule type="dataBar" priority="1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{51A9E1C2-01F5-4B5E-840B-60D6A093C7D5}</x14:id>
        </ext>
      </extLst>
    </cfRule>
    <cfRule type="dataBar" priority="1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{39376FE3-9724-4191-81A4-54ECAD6F03E6}</x14:id>
        </ext>
      </extLst>
    </cfRule>
    <cfRule type="dataBar" priority="1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{988C49D2-C87A-4575-BC34-92607A0ABA23}</x14:id>
        </ext>
      </extLst>
    </cfRule>
    <cfRule type="dataBar" priority="1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{A61CCA0B-4D09-4FFA-B47B-B60E9F7530E9}</x14:id>
        </ext>
      </extLst>
    </cfRule>
    <cfRule type="dataBar" priority="1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{43B648AF-6DAB-4A21-B820-6859B9B24D5D}</x14:id>
        </ext>
      </extLst>
    </cfRule>
    <cfRule type="dataBar" priority="1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{6BA85095-12BC-49E2-80D6-8378BD25CC98}</x14:id>
        </ext>
      </extLst>
    </cfRule>
    <cfRule type="dataBar" priority="15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{C5616FAB-2F98-46EC-8CC9-2087D4010716}</x14:id>
        </ext>
      </extLst>
    </cfRule>
    <cfRule type="dataBar" priority="1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{3E51E549-64D1-4E9B-9740-FA998D5AC005}</x14:id>
        </ext>
      </extLst>
    </cfRule>
    <cfRule type="dataBar" priority="15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{BAB170D5-3B9A-4763-9844-CEAB14CB9A0E}</x14:id>
        </ext>
      </extLst>
    </cfRule>
    <cfRule type="dataBar" priority="1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{7D5FA5AC-CCC2-4B23-96A7-EB1570FE6B0D}</x14:id>
        </ext>
      </extLst>
    </cfRule>
    <cfRule type="dataBar" priority="1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{2B63B957-50C9-4655-AE07-E944BE596037}</x14:id>
        </ext>
      </extLst>
    </cfRule>
    <cfRule type="dataBar" priority="16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{A427D337-E6D4-4990-AAC6-92460B53C0D1}</x14:id>
        </ext>
      </extLst>
    </cfRule>
    <cfRule type="dataBar" priority="16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{F8C457CA-8D7A-4976-B8C7-34E88EA93526}</x14:id>
        </ext>
      </extLst>
    </cfRule>
    <cfRule type="dataBar" priority="1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{8ECFD2C8-5B3A-48A4-97CA-917B2D9EEE0C}</x14:id>
        </ext>
      </extLst>
    </cfRule>
    <cfRule type="dataBar" priority="1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{4012221E-949F-4E96-B755-4A91CF5BBC4E}</x14:id>
        </ext>
      </extLst>
    </cfRule>
    <cfRule type="dataBar" priority="1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{31835DDD-B289-467C-9868-D81494C141CA}</x14:id>
        </ext>
      </extLst>
    </cfRule>
  </conditionalFormatting>
  <conditionalFormatting sqref="O30:O39 O4:O9 O41 O43:O47 O23:O28 O19:O21 O11:O17">
    <cfRule type="dataBar" priority="1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{D010C0A9-88AD-4A11-8B68-CBF21E1666E6}</x14:id>
        </ext>
      </extLst>
    </cfRule>
  </conditionalFormatting>
  <conditionalFormatting sqref="O31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{C3195669-B188-412A-A10C-FE92BB5E7698}</x14:id>
        </ext>
      </extLst>
    </cfRule>
    <cfRule type="dataBar" priority="3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{481777C5-1620-4644-9659-D230C4EB8681}</x14:id>
        </ext>
      </extLst>
    </cfRule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{32A1400E-55D9-44DF-AA5D-3C7088F90F9C}</x14:id>
        </ext>
      </extLst>
    </cfRule>
    <cfRule type="dataBar" priority="3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{5ADECD79-E964-4659-9CF7-A21B57450ABF}</x14:id>
        </ext>
      </extLst>
    </cfRule>
    <cfRule type="dataBar" priority="3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{629D516F-25D6-4E48-989E-E93993CEE087}</x14:id>
        </ext>
      </extLst>
    </cfRule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{0EB494B9-2C19-4DC5-BB68-FF9FED0DC544}</x14:id>
        </ext>
      </extLst>
    </cfRule>
  </conditionalFormatting>
  <conditionalFormatting sqref="O32">
    <cfRule type="dataBar" priority="2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{E688AAD8-998C-4341-B1D3-3B4675160CE7}</x14:id>
        </ext>
      </extLst>
    </cfRule>
    <cfRule type="dataBar" priority="2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{C28165B0-8564-40E7-BB12-76305A405BD2}</x14:id>
        </ext>
      </extLst>
    </cfRule>
    <cfRule type="dataBar" priority="20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{FD5956F9-647A-4A8A-A497-D00F18CF72A2}</x14:id>
        </ext>
      </extLst>
    </cfRule>
    <cfRule type="dataBar" priority="2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{A960BCC0-B078-48CF-8650-8B90FBFD3558}</x14:id>
        </ext>
      </extLst>
    </cfRule>
    <cfRule type="dataBar" priority="20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{DAC47E72-4E7A-485F-A352-F637691BB915}</x14:id>
        </ext>
      </extLst>
    </cfRule>
    <cfRule type="dataBar" priority="2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{55A70B60-37A1-469C-AF9D-C9737604E7A2}</x14:id>
        </ext>
      </extLst>
    </cfRule>
    <cfRule type="dataBar" priority="2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{87EDAFBD-84D2-4937-A8FD-0F9E1D7ADCB5}</x14:id>
        </ext>
      </extLst>
    </cfRule>
    <cfRule type="dataBar" priority="2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{B3433EDE-E8C2-4F0F-8B2E-7B59B05A1CA0}</x14:id>
        </ext>
      </extLst>
    </cfRule>
    <cfRule type="dataBar" priority="2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{A4D81F1A-6FFB-44D8-95EC-496F5D674D2D}</x14:id>
        </ext>
      </extLst>
    </cfRule>
    <cfRule type="dataBar" priority="2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{E4B767CF-1E76-4746-A2C7-CA964E6A9F3D}</x14:id>
        </ext>
      </extLst>
    </cfRule>
    <cfRule type="dataBar" priority="2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{969217B4-7F4C-48C5-B412-1E20787DEC6E}</x14:id>
        </ext>
      </extLst>
    </cfRule>
    <cfRule type="dataBar" priority="2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{D2576A6F-CA0F-4F97-8A9B-D87AAE153286}</x14:id>
        </ext>
      </extLst>
    </cfRule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{88472067-C976-4AB9-BA53-106223F525D7}</x14:id>
        </ext>
      </extLst>
    </cfRule>
    <cfRule type="dataBar" priority="2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{A295729B-BA9D-44CC-A69A-7FA7E6DD4A10}</x14:id>
        </ext>
      </extLst>
    </cfRule>
    <cfRule type="dataBar" priority="2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{1A77FFDA-45F3-4B93-A199-E53A8E9B714E}</x14:id>
        </ext>
      </extLst>
    </cfRule>
    <cfRule type="dataBar" priority="2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{9D9688D4-F053-48F4-BC48-2BDF75D6732B}</x14:id>
        </ext>
      </extLst>
    </cfRule>
    <cfRule type="dataBar" priority="2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{4A4AC9D2-3A6A-43CE-BFBC-0F25F3F33CAC}</x14:id>
        </ext>
      </extLst>
    </cfRule>
  </conditionalFormatting>
  <conditionalFormatting sqref="O33:O38 O5:O9 O17 O14:O15 O23:O28 O30:O31 O11:O12">
    <cfRule type="dataBar" priority="3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{053674F2-9B5D-4C4E-AC7C-C421849B9053}</x14:id>
        </ext>
      </extLst>
    </cfRule>
  </conditionalFormatting>
  <conditionalFormatting sqref="O33:O39 O4:O9 O45:O46 O30:O31 O41 O43 O23:O28 O19:O21 O11:O17">
    <cfRule type="dataBar" priority="3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{E4BDBCE9-F055-4BA8-B127-020B361A353C}</x14:id>
        </ext>
      </extLst>
    </cfRule>
  </conditionalFormatting>
  <conditionalFormatting sqref="O33:O39 O5:O9 O45:O46 O30:O31 O41 O43 O23:O28 O19:O21 O11:O17">
    <cfRule type="dataBar" priority="3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{AF0E9750-6A9C-4D2C-9BC4-4CC26823E634}</x14:id>
        </ext>
      </extLst>
    </cfRule>
  </conditionalFormatting>
  <conditionalFormatting sqref="O37">
    <cfRule type="dataBar" priority="3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{063E099A-FB0A-4074-9D24-27D740148C98}</x14:id>
        </ext>
      </extLst>
    </cfRule>
    <cfRule type="dataBar" priority="3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{6DD4BA65-95C9-4019-A843-6663EFBEAFFA}</x14:id>
        </ext>
      </extLst>
    </cfRule>
    <cfRule type="dataBar" priority="3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{2C83C5F3-FED6-4227-9CEF-8D1AEB896EB6}</x14:id>
        </ext>
      </extLst>
    </cfRule>
    <cfRule type="dataBar" priority="3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{9E9AEF6E-0996-4C29-A443-C25549DB0E11}</x14:id>
        </ext>
      </extLst>
    </cfRule>
  </conditionalFormatting>
  <conditionalFormatting sqref="O38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{C526DDEA-7567-48CC-9C83-F475ADE50E65}</x14:id>
        </ext>
      </extLst>
    </cfRule>
    <cfRule type="dataBar" priority="3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{59F47E9F-08C2-4E32-93B0-5A8500616EFA}</x14:id>
        </ext>
      </extLst>
    </cfRule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{ECE869ED-8090-4668-9DB4-89D96D9DA1E2}</x14:id>
        </ext>
      </extLst>
    </cfRule>
    <cfRule type="dataBar" priority="3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{BC53A45B-1DE7-4252-ABAE-449D0AFCBBC8}</x14:id>
        </ext>
      </extLst>
    </cfRule>
    <cfRule type="dataBar" priority="3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{C9669EC2-A910-4395-8320-B51BEE4E9E3A}</x14:id>
        </ext>
      </extLst>
    </cfRule>
  </conditionalFormatting>
  <conditionalFormatting sqref="O39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{CF209C8C-829E-4195-970B-B9D6D6643541}</x14:id>
        </ext>
      </extLst>
    </cfRule>
    <cfRule type="dataBar" priority="2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{538E0535-F5D4-44F6-8EF7-CF549D871289}</x14:id>
        </ext>
      </extLst>
    </cfRule>
    <cfRule type="dataBar" priority="2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{ACB9735D-50BA-467B-A26C-08DA9A28D843}</x14:id>
        </ext>
      </extLst>
    </cfRule>
    <cfRule type="dataBar" priority="2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{65970E85-954F-44E8-9DC6-92AA2856F9A6}</x14:id>
        </ext>
      </extLst>
    </cfRule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{A4F78749-0FAC-4216-B7A1-912F9CF91B83}</x14:id>
        </ext>
      </extLst>
    </cfRule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{C65B5E0B-539E-4FA9-97A3-14A36F7BA32C}</x14:id>
        </ext>
      </extLst>
    </cfRule>
    <cfRule type="dataBar" priority="2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{7CF19F3E-3A89-4420-A6D0-30E1A8F224DF}</x14:id>
        </ext>
      </extLst>
    </cfRule>
    <cfRule type="dataBar" priority="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{2C2A865C-4F10-441A-A398-DA89CFDBA2F7}</x14:id>
        </ext>
      </extLst>
    </cfRule>
    <cfRule type="dataBar" priority="2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{4FE9BC7A-8FE3-463D-92E3-F2DD79E2C2CD}</x14:id>
        </ext>
      </extLst>
    </cfRule>
    <cfRule type="dataBar" priority="2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{BF3AFDB9-1CA0-44E9-A91F-3FCABBA56165}</x14:id>
        </ext>
      </extLst>
    </cfRule>
  </conditionalFormatting>
  <conditionalFormatting sqref="O40">
    <cfRule type="dataBar" priority="1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{856FED5B-FF72-46B5-9569-77073A88979C}</x14:id>
        </ext>
      </extLst>
    </cfRule>
    <cfRule type="dataBar" priority="1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{710003DA-59C5-4F09-BBEC-AD372A351A03}</x14:id>
        </ext>
      </extLst>
    </cfRule>
    <cfRule type="dataBar" priority="1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{56AE1E9A-633E-4A8B-A21D-CC552F540AF2}</x14:id>
        </ext>
      </extLst>
    </cfRule>
    <cfRule type="dataBar" priority="1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{CDBDF777-A655-4092-BCD5-51ED4D93ABA5}</x14:id>
        </ext>
      </extLst>
    </cfRule>
    <cfRule type="dataBar" priority="1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{126DC7AB-C183-40E5-B3AB-A5750DB6C33E}</x14:id>
        </ext>
      </extLst>
    </cfRule>
    <cfRule type="dataBar" priority="1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{B5ACEFD8-971D-4073-B2B5-DCBEE6800792}</x14:id>
        </ext>
      </extLst>
    </cfRule>
    <cfRule type="dataBar" priority="1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{8B564F7C-C84D-498E-844D-3600E4F3B007}</x14:id>
        </ext>
      </extLst>
    </cfRule>
    <cfRule type="dataBar" priority="1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{4F96A499-7CE8-42E6-A12F-2E782BFC4A03}</x14:id>
        </ext>
      </extLst>
    </cfRule>
    <cfRule type="dataBar" priority="1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{485BC32D-6DAC-4735-ACAB-9030456AF704}</x14:id>
        </ext>
      </extLst>
    </cfRule>
    <cfRule type="dataBar" priority="1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{003ADC82-BCD3-49AE-9CA0-EB2F6FCC1443}</x14:id>
        </ext>
      </extLst>
    </cfRule>
    <cfRule type="dataBar" priority="1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{65874329-3D4F-4F01-B5EF-CE84BAFB560E}</x14:id>
        </ext>
      </extLst>
    </cfRule>
    <cfRule type="dataBar" priority="1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{7A64CC3A-FC23-41AA-BD29-F894302161C0}</x14:id>
        </ext>
      </extLst>
    </cfRule>
    <cfRule type="dataBar" priority="1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{06EF0E1C-F86C-4D18-AE57-942F525BACE6}</x14:id>
        </ext>
      </extLst>
    </cfRule>
    <cfRule type="dataBar" priority="1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{5CF6AADD-29A6-4E83-859C-9CBF5483330F}</x14:id>
        </ext>
      </extLst>
    </cfRule>
    <cfRule type="dataBar" priority="1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{3D03A964-C05F-413D-B822-BAD16555AFAA}</x14:id>
        </ext>
      </extLst>
    </cfRule>
    <cfRule type="dataBar" priority="1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{81A526CC-62FD-4E2D-923B-C2861C242E56}</x14:id>
        </ext>
      </extLst>
    </cfRule>
    <cfRule type="dataBar" priority="1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{7746A1DA-1870-4EAA-9717-922385169224}</x14:id>
        </ext>
      </extLst>
    </cfRule>
  </conditionalFormatting>
  <conditionalFormatting sqref="O41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{0F4A2E21-4AF9-475C-B689-3B775F0FAADE}</x14:id>
        </ext>
      </extLst>
    </cfRule>
    <cfRule type="dataBar" priority="2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{3B9EB5BC-6D34-4BA4-B23A-0989270057F5}</x14:id>
        </ext>
      </extLst>
    </cfRule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{FBFAEAF9-4CDB-4F4B-B3CD-36C5FEE69C94}</x14:id>
        </ext>
      </extLst>
    </cfRule>
    <cfRule type="dataBar" priority="2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{FD2125BC-94DB-43E9-8683-2F240A79B264}</x14:id>
        </ext>
      </extLst>
    </cfRule>
    <cfRule type="dataBar" priority="2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{09E5E0F2-ADE8-4FBB-B78A-986D754BB45C}</x14:id>
        </ext>
      </extLst>
    </cfRule>
    <cfRule type="dataBar" priority="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{FCDAF397-EE19-47E8-9F0C-1705A73DADE5}</x14:id>
        </ext>
      </extLst>
    </cfRule>
    <cfRule type="dataBar" priority="2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{0E5B5323-BDA2-49B8-80A0-6197B79F6560}</x14:id>
        </ext>
      </extLst>
    </cfRule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{77325B88-4D51-49E3-AB50-65DC7D57CB3E}</x14:id>
        </ext>
      </extLst>
    </cfRule>
    <cfRule type="dataBar" priority="2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{1E244A7D-90DA-4775-B10C-A906B30A5DD5}</x14:id>
        </ext>
      </extLst>
    </cfRule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{698E4FFE-6047-4FB0-AFED-2965F7A8C522}</x14:id>
        </ext>
      </extLst>
    </cfRule>
    <cfRule type="dataBar" priority="2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{9802F893-E3AA-4EE9-BE5B-45E86E5B206C}</x14:id>
        </ext>
      </extLst>
    </cfRule>
    <cfRule type="dataBar" priority="2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{E6A30DB1-36E3-4EE3-B00C-2165EBDF650B}</x14:id>
        </ext>
      </extLst>
    </cfRule>
    <cfRule type="dataBar" priority="2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{D3F429C4-C952-47A1-A163-68EE475DCC19}</x14:id>
        </ext>
      </extLst>
    </cfRule>
  </conditionalFormatting>
  <conditionalFormatting sqref="O42">
    <cfRule type="dataBar" priority="1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{0C51CFD9-A524-4F34-B8C3-9B7E1C904E04}</x14:id>
        </ext>
      </extLst>
    </cfRule>
    <cfRule type="dataBar" priority="1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{3E81F593-C729-4EA3-B86B-9F963E2CAEDF}</x14:id>
        </ext>
      </extLst>
    </cfRule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{7ED622A5-D4D5-454D-9F85-D47689D0EDEB}</x14:id>
        </ext>
      </extLst>
    </cfRule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{A7EC2828-3D97-40A9-96A8-B644C99A03B2}</x14:id>
        </ext>
      </extLst>
    </cfRule>
    <cfRule type="dataBar" priority="1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{9F0C1ACF-C633-4959-92C6-40FCAC4B9C3A}</x14:id>
        </ext>
      </extLst>
    </cfRule>
    <cfRule type="dataBar" priority="1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{95DCE7E0-2CF5-430C-867E-459E14B0E099}</x14:id>
        </ext>
      </extLst>
    </cfRule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{5CDB68DF-85AE-4349-A699-3C21E6AFDF85}</x14:id>
        </ext>
      </extLst>
    </cfRule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{BF37AAA6-0DC2-46C0-84DE-E4DE2DD65AD3}</x14:id>
        </ext>
      </extLst>
    </cfRule>
    <cfRule type="dataBar" priority="1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{4F4A01FC-96E9-43DC-9906-AEF46560A76E}</x14:id>
        </ext>
      </extLst>
    </cfRule>
    <cfRule type="dataBar" priority="1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{AA7902C8-C20B-458C-8485-51276CFA915F}</x14:id>
        </ext>
      </extLst>
    </cfRule>
    <cfRule type="dataBar" priority="1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{3C24DB49-ECBE-494A-ACBD-EE4F530E829B}</x14:id>
        </ext>
      </extLst>
    </cfRule>
    <cfRule type="dataBar" priority="1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{72F01FE2-8087-46D7-BBB4-40CE618119AE}</x14:id>
        </ext>
      </extLst>
    </cfRule>
    <cfRule type="dataBar" priority="1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{7AAE1492-0562-4D2E-86BF-A26BBC17F888}</x14:id>
        </ext>
      </extLst>
    </cfRule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{72B8B356-CFC3-45B0-A48F-09FE15440A85}</x14:id>
        </ext>
      </extLst>
    </cfRule>
    <cfRule type="dataBar" priority="1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{081504A5-93A4-44C5-98F8-71DCB9492F07}</x14:id>
        </ext>
      </extLst>
    </cfRule>
    <cfRule type="dataBar" priority="1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{E9742A5B-AA0E-4BDC-8E1D-1974FCDE633D}</x14:id>
        </ext>
      </extLst>
    </cfRule>
    <cfRule type="dataBar" priority="1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{8564BFAB-AD60-4B4B-83A1-C270B5112C96}</x14:id>
        </ext>
      </extLst>
    </cfRule>
  </conditionalFormatting>
  <conditionalFormatting sqref="O43 O17 O4:O9 O14:O15 O23:O28 O33:O38 O45:O46 O30:O31 O11:O12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{1C9BA77F-98BF-46FC-9F65-427B40BE2867}</x14:id>
        </ext>
      </extLst>
    </cfRule>
  </conditionalFormatting>
  <conditionalFormatting sqref="O43">
    <cfRule type="dataBar" priority="3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{4C45E2EE-3B56-429E-91CA-1ECD9EEC288F}</x14:id>
        </ext>
      </extLst>
    </cfRule>
    <cfRule type="dataBar" priority="3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{669FFC64-7910-4E2D-A638-EF80F1ACE4E4}</x14:id>
        </ext>
      </extLst>
    </cfRule>
    <cfRule type="dataBar" priority="3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{B47A0C13-51AD-44EC-9AB0-045FE80594DE}</x14:id>
        </ext>
      </extLst>
    </cfRule>
  </conditionalFormatting>
  <conditionalFormatting sqref="O44">
    <cfRule type="dataBar" priority="1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{5D72DEF0-CE97-4F90-8955-0B867CBBD991}</x14:id>
        </ext>
      </extLst>
    </cfRule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{1B6E3EC2-C4E7-4844-89A1-679383FE16F4}</x14:id>
        </ext>
      </extLst>
    </cfRule>
    <cfRule type="dataBar" priority="1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{DEF6620B-2E3C-4857-B43A-FAB81F826A85}</x14:id>
        </ext>
      </extLst>
    </cfRule>
    <cfRule type="dataBar" priority="1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{FC3B04DD-5DDE-43DC-B9AA-8E63226D715B}</x14:id>
        </ext>
      </extLst>
    </cfRule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{A9DC4C39-14EC-41C9-846E-3380264C82B1}</x14:id>
        </ext>
      </extLst>
    </cfRule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{2289DC19-BE74-4062-BA37-755165AA8960}</x14:id>
        </ext>
      </extLst>
    </cfRule>
    <cfRule type="dataBar" priority="1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{992E0824-2F02-43C3-839C-CF9C8EF13182}</x14:id>
        </ext>
      </extLst>
    </cfRule>
    <cfRule type="dataBar" priority="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{8E24CE64-A926-4174-A9A3-292D4B179CD4}</x14:id>
        </ext>
      </extLst>
    </cfRule>
    <cfRule type="dataBar" priority="18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{37070FB5-23E0-4EA2-9F9A-0742A60216ED}</x14:id>
        </ext>
      </extLst>
    </cfRule>
    <cfRule type="dataBar" priority="1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{C780890D-F48E-47CD-A22A-7BC1FF66D39A}</x14:id>
        </ext>
      </extLst>
    </cfRule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{2D356BFB-33FF-49F5-97A6-5D2A281C2AB8}</x14:id>
        </ext>
      </extLst>
    </cfRule>
    <cfRule type="dataBar" priority="1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{0BDBEF94-4A28-4480-AE84-7AD7C7F831C5}</x14:id>
        </ext>
      </extLst>
    </cfRule>
    <cfRule type="dataBar" priority="1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{EB53DB29-A82F-4FD6-A4E9-E46C09DB1725}</x14:id>
        </ext>
      </extLst>
    </cfRule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{651662E4-EB1B-4FEB-AD6A-F2B871750C89}</x14:id>
        </ext>
      </extLst>
    </cfRule>
    <cfRule type="dataBar" priority="1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{860836A8-1AB5-4D3D-ABB6-76C066C43228}</x14:id>
        </ext>
      </extLst>
    </cfRule>
  </conditionalFormatting>
  <conditionalFormatting sqref="O45:O46 O4:O7 O23:O28 O15 O33:O36 O9 O30 O11:O12">
    <cfRule type="dataBar" priority="36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{234A6654-9605-4722-896E-E0CE27B1A4EE}</x14:id>
        </ext>
      </extLst>
    </cfRule>
  </conditionalFormatting>
  <conditionalFormatting sqref="O45:O46 O4:O9 O30:O39 O41 O43 O23:O28 O19:O21 O11:O17">
    <cfRule type="dataBar" priority="3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{EEBE7625-BAB0-470E-A132-A6996E7E036F}</x14:id>
        </ext>
      </extLst>
    </cfRule>
  </conditionalFormatting>
  <conditionalFormatting sqref="O45:O46 O6:O7 O23:O28 O15 O33:O36 O9 O30 O11:O12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{12F4EAE8-E9B4-464A-A8D1-E4DB4286B75F}</x14:id>
        </ext>
      </extLst>
    </cfRule>
  </conditionalFormatting>
  <conditionalFormatting sqref="O45:O46 O43">
    <cfRule type="dataBar" priority="3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{3776F191-D6F2-4598-897F-C259081F029A}</x14:id>
        </ext>
      </extLst>
    </cfRule>
  </conditionalFormatting>
  <conditionalFormatting sqref="O45:O47 O4:O9 O30:O39 O41 O43 O23:O28 O19:O21 O11:O17">
    <cfRule type="dataBar" priority="18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{DEC1085A-3DD5-4447-9D69-52E4ED43315F}</x14:id>
        </ext>
      </extLst>
    </cfRule>
  </conditionalFormatting>
  <conditionalFormatting sqref="O47"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{E7461540-6D70-45D2-9808-C5216E8BE696}</x14:id>
        </ext>
      </extLst>
    </cfRule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{F3B8A882-7FA7-49DC-AA95-BD26ECA33385}</x14:id>
        </ext>
      </extLst>
    </cfRule>
    <cfRule type="dataBar" priority="1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{DF8AF43E-3F29-4CA5-875C-0854B63C7E86}</x14:id>
        </ext>
      </extLst>
    </cfRule>
    <cfRule type="dataBar" priority="19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{A2003515-F300-49FF-A9BD-71602EC37299}</x14:id>
        </ext>
      </extLst>
    </cfRule>
    <cfRule type="dataBar" priority="1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{BDCC2F7C-AFFC-4B3A-8A65-B0137A8CE502}</x14:id>
        </ext>
      </extLst>
    </cfRule>
    <cfRule type="dataBar" priority="1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{81DAB7B1-7311-47A7-AA60-F55562E42C4E}</x14:id>
        </ext>
      </extLst>
    </cfRule>
    <cfRule type="dataBar" priority="19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{DE91A6AC-7718-4C1A-96CB-B3F983C47835}</x14:id>
        </ext>
      </extLst>
    </cfRule>
    <cfRule type="dataBar" priority="1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{30DDC6A7-FCA3-4F79-A9BB-9CE443B38476}</x14:id>
        </ext>
      </extLst>
    </cfRule>
    <cfRule type="dataBar" priority="1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{49E4EBDF-A7BB-4EA6-89EF-E7736B92FEBC}</x14:id>
        </ext>
      </extLst>
    </cfRule>
    <cfRule type="dataBar" priority="2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{45977CDD-AB36-4240-8011-E4DC4A3F930C}</x14:id>
        </ext>
      </extLst>
    </cfRule>
    <cfRule type="dataBar" priority="20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{8EF3EF8A-5D5C-476F-B1E2-A46CABC23F95}</x14:id>
        </ext>
      </extLst>
    </cfRule>
    <cfRule type="dataBar" priority="20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{264A3348-9E00-4B00-84D5-C9310E3672A3}</x14:id>
        </ext>
      </extLst>
    </cfRule>
    <cfRule type="dataBar" priority="20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{C9155F34-9806-47D7-A833-57B9B20C07C9}</x14:id>
        </ext>
      </extLst>
    </cfRule>
  </conditionalFormatting>
  <conditionalFormatting sqref="O48">
    <cfRule type="dataBar" priority="3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{91FF75C8-10D3-48DB-B62E-09B2BAD66593}</x14:id>
        </ext>
      </extLst>
    </cfRule>
  </conditionalFormatting>
  <conditionalFormatting sqref="K18">
    <cfRule type="iconSet" priority="53">
      <iconSet iconSet="3Arrows">
        <cfvo type="percent" val="0"/>
        <cfvo type="percent" val="33"/>
        <cfvo type="percent" val="67"/>
      </iconSet>
    </cfRule>
  </conditionalFormatting>
  <conditionalFormatting sqref="K18">
    <cfRule type="iconSet" priority="42">
      <iconSet iconSet="3Arrows">
        <cfvo type="percent" val="0"/>
        <cfvo type="percent" val="33"/>
        <cfvo type="percent" val="67"/>
      </iconSet>
    </cfRule>
    <cfRule type="iconSet" priority="44">
      <iconSet iconSet="3Arrows">
        <cfvo type="percent" val="0"/>
        <cfvo type="percent" val="33"/>
        <cfvo type="percent" val="67"/>
      </iconSet>
    </cfRule>
    <cfRule type="iconSet" priority="47">
      <iconSet iconSet="3Arrows">
        <cfvo type="percent" val="0"/>
        <cfvo type="percent" val="33"/>
        <cfvo type="percent" val="67"/>
      </iconSet>
    </cfRule>
    <cfRule type="iconSet" priority="48">
      <iconSet iconSet="3Arrows">
        <cfvo type="percent" val="0"/>
        <cfvo type="percent" val="33"/>
        <cfvo type="percent" val="67"/>
      </iconSet>
    </cfRule>
  </conditionalFormatting>
  <conditionalFormatting sqref="O18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{F50041BB-BE97-4BAA-9B15-5113707E8F87}</x14:id>
        </ext>
      </extLst>
    </cfRule>
  </conditionalFormatting>
  <conditionalFormatting sqref="O18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{5D4B80DB-5F0C-4D97-B334-34EC0761DB01}</x14:id>
        </ext>
      </extLst>
    </cfRule>
  </conditionalFormatting>
  <conditionalFormatting sqref="O18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{BE980328-C1C8-4A12-B38E-4B29CA477875}</x14:id>
        </ext>
      </extLst>
    </cfRule>
  </conditionalFormatting>
  <conditionalFormatting sqref="O18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{5CC701F8-A739-4115-A1B5-03D08A13FADB}</x14:id>
        </ext>
      </extLst>
    </cfRule>
  </conditionalFormatting>
  <conditionalFormatting sqref="O18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{4891FAF3-67E5-4262-975B-ABC039630774}</x14:id>
        </ext>
      </extLst>
    </cfRule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{AF2C17C8-6DFB-494B-8534-124A188EFB28}</x14:id>
        </ext>
      </extLst>
    </cfRule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{1BEFD49E-A5B5-410C-9947-C53E3C5635D2}</x14:id>
        </ext>
      </extLst>
    </cfRule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{5615335B-5444-41A8-8FF4-44B80D39F1C4}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{F8C261D3-E110-45BB-A90F-1553781AC5FC}</x14:id>
        </ext>
      </extLst>
    </cfRule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{0CAFAB59-9A13-4C0E-83DD-A5D3091BA79F}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{54B7A8C5-F196-4C8C-96AC-0DC815BF13C6}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{A1A21DF0-EC12-4690-9202-CB5BE170F19C}</x14:id>
        </ext>
      </extLst>
    </cfRule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{93D9F96C-0EEB-4880-B13C-80225A69CAEC}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{47CBBFD9-2597-4C5A-AE7D-69DAEBA66332}</x14:id>
        </ext>
      </extLst>
    </cfRule>
    <cfRule type="dataBar" priority="3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{0FB6F6BF-548B-46C9-8D7F-6351330C6988}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{44B0A8ED-8604-4386-A7C8-5D890E9F97AA}</x14:id>
        </ext>
      </extLst>
    </cfRule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{5C6EF426-CF27-4475-A7E9-7A42D3E191E9}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{796DE563-6D6E-4A47-9122-8D20E913AA8A}</x14:id>
        </ext>
      </extLst>
    </cfRule>
    <cfRule type="dataBar" priority="4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{2FF64BA7-138A-4A8A-9575-F96251FF8F0B}</x14:id>
        </ext>
      </extLst>
    </cfRule>
    <cfRule type="dataBar" priority="4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{294BABBF-015D-4080-9960-88FCF79224AE}</x14:id>
        </ext>
      </extLst>
    </cfRule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{E82D64A6-8FF5-46F4-B13C-C39B85C6CD1E}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{FD7C0B8A-62FF-47EC-93E3-0FDAEC9A9CF5}</x14:id>
        </ext>
      </extLst>
    </cfRule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{A7C7E552-1E89-4DD4-B703-F3F2056F1EB2}</x14:id>
        </ext>
      </extLst>
    </cfRule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{7CC822EE-163C-4707-867F-FC5C50EB1EB2}</x14:id>
        </ext>
      </extLst>
    </cfRule>
  </conditionalFormatting>
  <conditionalFormatting sqref="O18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{0314FC4F-04B0-41CE-A168-F471295292E2}</x14:id>
        </ext>
      </extLst>
    </cfRule>
  </conditionalFormatting>
  <conditionalFormatting sqref="O18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{6D2E6C93-98E8-43F7-BB9E-CCD19F133DCE}</x14:id>
        </ext>
      </extLst>
    </cfRule>
  </conditionalFormatting>
  <conditionalFormatting sqref="O18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{0524DFEF-03F8-4C7A-A001-69107D1A8C3F}</x14:id>
        </ext>
      </extLst>
    </cfRule>
  </conditionalFormatting>
  <conditionalFormatting sqref="O18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{C7179020-D8D0-4084-9D0C-EB8F1158F0B9}</x14:id>
        </ext>
      </extLst>
    </cfRule>
  </conditionalFormatting>
  <conditionalFormatting sqref="O18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{79DD7481-939F-4233-ACD4-5295797CB7EE}</x14:id>
        </ext>
      </extLst>
    </cfRule>
  </conditionalFormatting>
  <conditionalFormatting sqref="O10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{AC0744E9-77A7-4CD3-A84B-BE940F12E0E6}</x14:id>
        </ext>
      </extLst>
    </cfRule>
  </conditionalFormatting>
  <conditionalFormatting sqref="O10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{E9C503D9-74AB-4D47-B3B3-7F8347B4354C}</x14:id>
        </ext>
      </extLst>
    </cfRule>
  </conditionalFormatting>
  <conditionalFormatting sqref="O10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{3324367D-5E65-448B-84CC-1D8CFF5B9033}</x14:id>
        </ext>
      </extLst>
    </cfRule>
  </conditionalFormatting>
  <conditionalFormatting sqref="O10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{956509F0-FEA0-4F8A-A662-6013B1FC6DE5}</x14:id>
        </ext>
      </extLst>
    </cfRule>
  </conditionalFormatting>
  <conditionalFormatting sqref="O10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{23BE89AC-0F2E-4EA9-BAB0-31ECB89D8B6F}</x14:id>
        </ext>
      </extLst>
    </cfRule>
  </conditionalFormatting>
  <conditionalFormatting sqref="O10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{DB4889D2-4EA0-482D-A8B6-5E4685E6C4D7}</x14:id>
        </ext>
      </extLst>
    </cfRule>
  </conditionalFormatting>
  <conditionalFormatting sqref="O10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{2A8AE2F8-3F67-4593-BFF7-2501137207B3}</x14:id>
        </ext>
      </extLst>
    </cfRule>
  </conditionalFormatting>
  <conditionalFormatting sqref="O10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{47DD0669-C975-4698-A1A4-44DB870FB794}</x14:id>
        </ext>
      </extLst>
    </cfRule>
  </conditionalFormatting>
  <conditionalFormatting sqref="O10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{04770714-228D-498A-8525-2DAFD3DA2F0E}</x14:id>
        </ext>
      </extLst>
    </cfRule>
  </conditionalFormatting>
  <conditionalFormatting sqref="O10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{7B282DF9-B353-426E-B5A6-C92CC6B30997}</x14:id>
        </ext>
      </extLst>
    </cfRule>
  </conditionalFormatting>
  <conditionalFormatting sqref="O1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{7AF81019-FB4C-4772-A2C1-A19C79A0BC0E}</x14:id>
        </ext>
      </extLst>
    </cfRule>
  </conditionalFormatting>
  <conditionalFormatting sqref="O10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{5848D201-3FBC-41FB-9670-444054A83466}</x14:id>
        </ext>
      </extLst>
    </cfRule>
  </conditionalFormatting>
  <conditionalFormatting sqref="O10">
    <cfRule type="dataBar" priority="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{87CE9FE0-FC56-4A59-9916-77D5AE4A7BC4}</x14:id>
        </ext>
      </extLst>
    </cfRule>
  </conditionalFormatting>
  <conditionalFormatting sqref="O10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{8208553A-8D6B-4E01-B496-7693F2E7C625}</x14:id>
        </ext>
      </extLst>
    </cfRule>
  </conditionalFormatting>
  <conditionalFormatting sqref="O10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{A92A6486-CC10-4FF5-910C-02C2040E96E6}</x14:id>
        </ext>
      </extLst>
    </cfRule>
  </conditionalFormatting>
  <conditionalFormatting sqref="O10">
    <cfRule type="dataBar" priority="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{947E8AF7-AFF2-4F49-B2B0-FEDF577AA299}</x14:id>
        </ext>
      </extLst>
    </cfRule>
  </conditionalFormatting>
  <conditionalFormatting sqref="O10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{22E3CC01-B888-4CE3-B570-8CB810356295}</x14:id>
        </ext>
      </extLst>
    </cfRule>
  </conditionalFormatting>
  <conditionalFormatting sqref="O10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{26E358F5-ABBE-4FB2-A6B5-8ACE21C1E2FC}</x14:id>
        </ext>
      </extLst>
    </cfRule>
  </conditionalFormatting>
  <conditionalFormatting sqref="O10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{E2E34299-7165-48C3-AA4C-384113B9E8A5}</x14:id>
        </ext>
      </extLst>
    </cfRule>
  </conditionalFormatting>
  <conditionalFormatting sqref="K4:K47">
    <cfRule type="iconSet" priority="385">
      <iconSet iconSet="3Arrows">
        <cfvo type="percent" val="0"/>
        <cfvo type="percent" val="33"/>
        <cfvo type="percent" val="67"/>
      </iconSet>
    </cfRule>
  </conditionalFormatting>
  <conditionalFormatting sqref="O4:O9 O23:O47 O19:O21 O11:O17">
    <cfRule type="dataBar" priority="3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{0EBD0F47-9A68-48A5-8E2B-0E92F611F8C5}</x14:id>
        </ext>
      </extLst>
    </cfRule>
  </conditionalFormatting>
  <conditionalFormatting sqref="O4:O9 O19:O47 O11:O17">
    <cfRule type="dataBar" priority="3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{920A7E7F-56C1-4DF4-908B-FE5A74861FCE}</x14:id>
        </ext>
      </extLst>
    </cfRule>
  </conditionalFormatting>
  <conditionalFormatting sqref="O4:O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{5A849020-667E-464B-ABE0-3DB2F6EA709C}</x14:id>
        </ext>
      </extLst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45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BE4154-19E1-4CC8-8FEA-F73621AE5B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O3:O9 O43 O23:O28 O33:O39 O45:O46 O30:O31 O11:O17</xm:sqref>
        </x14:conditionalFormatting>
        <x14:conditionalFormatting xmlns:xm="http://schemas.microsoft.com/office/excel/2006/main">
          <x14:cfRule type="dataBar" id="{2F246B3B-2CD8-457A-8C6B-42BB29D35E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227BE6-ABE0-4EA2-9DDE-AF981F328A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AF97633-94DD-4947-B49E-145B451BD9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23872B-A55E-4FB2-A215-A4494BDF2D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98C0583-0D77-4D04-974D-FBB313AFEC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87AEDE-7E70-44BC-9060-A47A1470CC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92C7A9-CFF0-4DF9-9DFC-48B03101B8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002FC5-E8A4-45C2-8A15-3E07937472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A0E8B7-FFDB-4BBB-915C-865F72DE86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O4:O5</xm:sqref>
        </x14:conditionalFormatting>
        <x14:conditionalFormatting xmlns:xm="http://schemas.microsoft.com/office/excel/2006/main">
          <x14:cfRule type="dataBar" id="{4CBF1A74-2269-439E-8278-A7A33BA774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O4:O7 O45 O23:O28 O15 O33:O36 O9 O30 O11:O12</xm:sqref>
        </x14:conditionalFormatting>
        <x14:conditionalFormatting xmlns:xm="http://schemas.microsoft.com/office/excel/2006/main">
          <x14:cfRule type="dataBar" id="{37EAF773-98BE-48CC-B122-A14847597A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O4:O9 O43 O14:O17 O23:O28 O33:O38 O45:O46 O30:O31 O11:O12</xm:sqref>
        </x14:conditionalFormatting>
        <x14:conditionalFormatting xmlns:xm="http://schemas.microsoft.com/office/excel/2006/main">
          <x14:cfRule type="dataBar" id="{541D5EEC-023A-4C13-906E-4784FD5411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O4:O9 O43 O23:O28 O33:O38 O45:O46 O30:O31 O11:O17</xm:sqref>
        </x14:conditionalFormatting>
        <x14:conditionalFormatting xmlns:xm="http://schemas.microsoft.com/office/excel/2006/main">
          <x14:cfRule type="dataBar" id="{A3118CE4-4F24-430A-B6DA-63379EC724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O4:O9 O43 O23:O28 O33:O39 O45:O46 O30:O31 O11:O17</xm:sqref>
        </x14:conditionalFormatting>
        <x14:conditionalFormatting xmlns:xm="http://schemas.microsoft.com/office/excel/2006/main">
          <x14:cfRule type="dataBar" id="{ECE41096-C35A-438D-BD9B-055953B65F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O4:O9 O41 O43:O47 O23:O39 O19:O21 O11:O17</xm:sqref>
        </x14:conditionalFormatting>
        <x14:conditionalFormatting xmlns:xm="http://schemas.microsoft.com/office/excel/2006/main">
          <x14:cfRule type="dataBar" id="{9612842A-46A8-425B-B563-ACBFF2A464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O4:O9 O43 O33:O39 O45:O46 O30:O31 O23:O28 O19:O21 O11:O17</xm:sqref>
        </x14:conditionalFormatting>
        <x14:conditionalFormatting xmlns:xm="http://schemas.microsoft.com/office/excel/2006/main">
          <x14:cfRule type="dataBar" id="{906D0AA5-2D3C-4B8B-AAC7-7715D904E6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8CA176-4D08-44BB-88B0-9342A8AB73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8D4144E-A07F-4CA0-BB4A-CAAB248375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F50C9E1-4105-4D43-AE46-C801B70699C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8C50168-7F6C-4FA3-8706-24A71ADDF2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23D92A8-D8A0-4045-AA51-F2E848CBB3A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8A90D5-8A7D-480F-B975-F857919824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C12A4B-142D-4F0C-BEAD-280849D620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182248-B586-422D-8995-19ADE6985B1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O13</xm:sqref>
        </x14:conditionalFormatting>
        <x14:conditionalFormatting xmlns:xm="http://schemas.microsoft.com/office/excel/2006/main">
          <x14:cfRule type="dataBar" id="{87E0C454-AFDB-4757-A5CC-FB4E73149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0791FEB-8171-439F-8A83-78AF1FE44C5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4B6889-BA18-4AA4-B426-32330D8AFE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57FB55F-2158-4E60-B600-7EE2E467CC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901CF1-9F03-4880-BCE8-025B23AFDA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O14</xm:sqref>
        </x14:conditionalFormatting>
        <x14:conditionalFormatting xmlns:xm="http://schemas.microsoft.com/office/excel/2006/main">
          <x14:cfRule type="dataBar" id="{A428FBD4-A6B8-4551-972F-5A94271B3E4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9355D8-92DA-47E2-A621-9007799E5E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398FCED-0D7B-4E03-894F-67A21800FF2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E29D70-A62C-4AA0-92CE-882C8410CE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10C2CC0-B8E0-484C-88D4-B4C8472DED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A5F7E18-6AE4-4909-9F6B-3E684F4381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22DF16F-7ADD-4297-8705-07B185A31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O16</xm:sqref>
        </x14:conditionalFormatting>
        <x14:conditionalFormatting xmlns:xm="http://schemas.microsoft.com/office/excel/2006/main">
          <x14:cfRule type="dataBar" id="{0C5BCCCB-93BC-4264-B8C1-F877AD60F5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277C0D-9F2E-4236-9711-7E151722DC5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590094-499B-4A99-A46E-095322ADBC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B76C68-D3E5-4824-8246-8F109D3B7DF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B43DFD5-626E-4330-92E1-A9BF5DD615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40D9860-518F-48C7-AB31-D0DF008CFA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C6343E2-8EAB-499A-9F0D-DBB0CB4B6A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3302E12-4969-4F44-A4EB-A7BDDFBD8A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D753E2-58B5-42DE-A04F-09DD11131E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8F774DD-8FC2-4BDA-B1C3-90E61C39FA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9DEF9F-142F-4FAE-BD51-C59EC1EA9B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976BD56-D809-4FB6-A345-737B98FC921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13317E6-E254-4FBB-ADD7-3A256AE837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O17</xm:sqref>
        </x14:conditionalFormatting>
        <x14:conditionalFormatting xmlns:xm="http://schemas.microsoft.com/office/excel/2006/main">
          <x14:cfRule type="dataBar" id="{653A92F0-0B83-49A3-B368-28ACB949ADC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48F92CF-3A35-4170-9A72-CA3E74C4AE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F573FA6-13A2-4109-9773-B9F0F800FB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EFD2677-FED9-45DE-897B-11DAA90A16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278A39-D935-4EA2-AA48-2C1D2AC1A4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E438F8E-B11B-4284-9412-6F43760CE8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C85332-BD0F-45AB-BEE2-5ED479C944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23F86C8-1188-4F42-9207-3AA98A9EBC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C0E840A-BAEC-4271-98E1-68CDE7B12F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0B40E28-A22B-495F-8A1D-0EBA7D0553D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17CFB7F-57FA-4A6E-A3DA-E30F6F5ACD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7D7CA9B-09AE-4A5F-ABAE-F2990E73F7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2BC3C7-577D-4885-8A52-361F2447DC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956FCA-BF15-48B5-8073-A1B3FB9A87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9F3264C-BF2B-46A1-B4AB-9ADD31DD4C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AFD962-BB4E-4AE4-9D27-28A73CE9B5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21410A1-A0CD-42B1-9E0E-62303BA88A7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B2D2BEA-4C1F-4C6D-A2ED-10E03CD5A1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59F46E-98D0-4CAD-806F-4163DE9930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290CA8-E153-4F46-9BB9-E8CABED2D3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O19:O21</xm:sqref>
        </x14:conditionalFormatting>
        <x14:conditionalFormatting xmlns:xm="http://schemas.microsoft.com/office/excel/2006/main">
          <x14:cfRule type="dataBar" id="{93E603A0-AE15-40A8-B65D-B20E74E3B8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7D6B902-A719-44D7-80D7-D1AF1D14BC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2594744-964A-4933-B1DE-B2D409797B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D92EC4A-0FAD-4047-8B86-19356B8982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F3CF7F0-E1CD-4D25-8E4A-47D21FEF71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365842D-5CFE-4EE8-891B-AE94544B61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88BBE0-7EDE-41AC-BC71-7E790E520FA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F2960D1-B1FB-44D7-9DBA-2865D8A21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98D6D2-908A-4A28-94DE-4B1E902E6F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E98BA5-B937-469A-9AC4-C511E9D030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0F6C278-86BB-4F5E-A31E-3A4831B797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5D160E-876F-4440-85DB-5546ABA7B2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19AB18-0428-4AE1-9437-8579BC8499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71993A7-5537-4B8F-9DA8-939B447241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95221F0-1781-4E7E-B6B2-19063195EB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19C4937-3759-434A-B9B4-E29C063DA2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997C800-1D24-4AF2-BC21-C84B92B9E9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BDC4F37-CEF4-441F-826F-DE4F3CB25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O22</xm:sqref>
        </x14:conditionalFormatting>
        <x14:conditionalFormatting xmlns:xm="http://schemas.microsoft.com/office/excel/2006/main">
          <x14:cfRule type="dataBar" id="{F1575012-A20C-41C2-B8D9-3485888F87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O23:O28 O43 O4:O7 O15 O33:O36 O9 O45:O46 O30 O11:O12</xm:sqref>
        </x14:conditionalFormatting>
        <x14:conditionalFormatting xmlns:xm="http://schemas.microsoft.com/office/excel/2006/main">
          <x14:cfRule type="dataBar" id="{51A9E1C2-01F5-4B5E-840B-60D6A093C7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9376FE3-9724-4191-81A4-54ECAD6F03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8C49D2-C87A-4575-BC34-92607A0ABA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61CCA0B-4D09-4FFA-B47B-B60E9F7530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3B648AF-6DAB-4A21-B820-6859B9B24D5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BA85095-12BC-49E2-80D6-8378BD25CC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5616FAB-2F98-46EC-8CC9-2087D40107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51E549-64D1-4E9B-9740-FA998D5AC0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AB170D5-3B9A-4763-9844-CEAB14CB9A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D5FA5AC-CCC2-4B23-96A7-EB1570FE6B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B63B957-50C9-4655-AE07-E944BE5960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427D337-E6D4-4990-AAC6-92460B53C0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8C457CA-8D7A-4976-B8C7-34E88EA9352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CFD2C8-5B3A-48A4-97CA-917B2D9EEE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012221E-949F-4E96-B755-4A91CF5BBC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1835DDD-B289-467C-9868-D81494C141C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O29</xm:sqref>
        </x14:conditionalFormatting>
        <x14:conditionalFormatting xmlns:xm="http://schemas.microsoft.com/office/excel/2006/main">
          <x14:cfRule type="dataBar" id="{D010C0A9-88AD-4A11-8B68-CBF21E1666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O30:O39 O4:O9 O41 O43:O47 O23:O28 O19:O21 O11:O17</xm:sqref>
        </x14:conditionalFormatting>
        <x14:conditionalFormatting xmlns:xm="http://schemas.microsoft.com/office/excel/2006/main">
          <x14:cfRule type="dataBar" id="{C3195669-B188-412A-A10C-FE92BB5E76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1777C5-1620-4644-9659-D230C4EB868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2A1400E-55D9-44DF-AA5D-3C7088F90F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ADECD79-E964-4659-9CF7-A21B57450A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29D516F-25D6-4E48-989E-E93993CEE0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B494B9-2C19-4DC5-BB68-FF9FED0DC54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O31</xm:sqref>
        </x14:conditionalFormatting>
        <x14:conditionalFormatting xmlns:xm="http://schemas.microsoft.com/office/excel/2006/main">
          <x14:cfRule type="dataBar" id="{E688AAD8-998C-4341-B1D3-3B4675160C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28165B0-8564-40E7-BB12-76305A405B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5956F9-647A-4A8A-A497-D00F18CF72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60BCC0-B078-48CF-8650-8B90FBFD355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AC47E72-4E7A-485F-A352-F637691BB9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5A70B60-37A1-469C-AF9D-C9737604E7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7EDAFBD-84D2-4937-A8FD-0F9E1D7ADC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3433EDE-E8C2-4F0F-8B2E-7B59B05A1C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4D81F1A-6FFB-44D8-95EC-496F5D674D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4B767CF-1E76-4746-A2C7-CA964E6A9F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69217B4-7F4C-48C5-B412-1E20787DEC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2576A6F-CA0F-4F97-8A9B-D87AAE1532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8472067-C976-4AB9-BA53-106223F525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95729B-BA9D-44CC-A69A-7FA7E6DD4A1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A77FFDA-45F3-4B93-A199-E53A8E9B71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D9688D4-F053-48F4-BC48-2BDF75D673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A4AC9D2-3A6A-43CE-BFBC-0F25F3F33C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O32</xm:sqref>
        </x14:conditionalFormatting>
        <x14:conditionalFormatting xmlns:xm="http://schemas.microsoft.com/office/excel/2006/main">
          <x14:cfRule type="dataBar" id="{053674F2-9B5D-4C4E-AC7C-C421849B90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O33:O38 O5:O9 O17 O14:O15 O23:O28 O30:O31 O11:O12</xm:sqref>
        </x14:conditionalFormatting>
        <x14:conditionalFormatting xmlns:xm="http://schemas.microsoft.com/office/excel/2006/main">
          <x14:cfRule type="dataBar" id="{E4BDBCE9-F055-4BA8-B127-020B361A35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O33:O39 O4:O9 O45:O46 O30:O31 O41 O43 O23:O28 O19:O21 O11:O17</xm:sqref>
        </x14:conditionalFormatting>
        <x14:conditionalFormatting xmlns:xm="http://schemas.microsoft.com/office/excel/2006/main">
          <x14:cfRule type="dataBar" id="{AF0E9750-6A9C-4D2C-9BC4-4CC26823E6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O33:O39 O5:O9 O45:O46 O30:O31 O41 O43 O23:O28 O19:O21 O11:O17</xm:sqref>
        </x14:conditionalFormatting>
        <x14:conditionalFormatting xmlns:xm="http://schemas.microsoft.com/office/excel/2006/main">
          <x14:cfRule type="dataBar" id="{063E099A-FB0A-4074-9D24-27D740148C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DD4BA65-95C9-4019-A843-6663EFBEAF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83C5F3-FED6-4227-9CEF-8D1AEB896E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E9AEF6E-0996-4C29-A443-C25549DB0E1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O37</xm:sqref>
        </x14:conditionalFormatting>
        <x14:conditionalFormatting xmlns:xm="http://schemas.microsoft.com/office/excel/2006/main">
          <x14:cfRule type="dataBar" id="{C526DDEA-7567-48CC-9C83-F475ADE50E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9F47E9F-08C2-4E32-93B0-5A8500616E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CE869ED-8090-4668-9DB4-89D96D9DA1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C53A45B-1DE7-4252-ABAE-449D0AFCBBC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9669EC2-A910-4395-8320-B51BEE4E9E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O38</xm:sqref>
        </x14:conditionalFormatting>
        <x14:conditionalFormatting xmlns:xm="http://schemas.microsoft.com/office/excel/2006/main">
          <x14:cfRule type="dataBar" id="{CF209C8C-829E-4195-970B-B9D6D66435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38E0535-F5D4-44F6-8EF7-CF549D8712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CB9735D-50BA-467B-A26C-08DA9A28D8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970E85-954F-44E8-9DC6-92AA2856F9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4F78749-0FAC-4216-B7A1-912F9CF91B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5B5E0B-539E-4FA9-97A3-14A36F7BA3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CF19F3E-3A89-4420-A6D0-30E1A8F224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C2A865C-4F10-441A-A398-DA89CFDBA2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E9BC7A-8FE3-463D-92E3-F2DD79E2C2C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3AFDB9-1CA0-44E9-A91F-3FCABBA561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O39</xm:sqref>
        </x14:conditionalFormatting>
        <x14:conditionalFormatting xmlns:xm="http://schemas.microsoft.com/office/excel/2006/main">
          <x14:cfRule type="dataBar" id="{856FED5B-FF72-46B5-9569-77073A8897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10003DA-59C5-4F09-BBEC-AD372A351A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AE1E9A-633E-4A8B-A21D-CC552F540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DBDF777-A655-4092-BCD5-51ED4D93AB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26DC7AB-C183-40E5-B3AB-A5750DB6C3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5ACEFD8-971D-4073-B2B5-DCBEE68007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564F7C-C84D-498E-844D-3600E4F3B0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96A499-7CE8-42E6-A12F-2E782BFC4A0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5BC32D-6DAC-4735-ACAB-9030456AF7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03ADC82-BCD3-49AE-9CA0-EB2F6FCC14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874329-3D4F-4F01-B5EF-CE84BAFB56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64CC3A-FC23-41AA-BD29-F894302161C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6EF0E1C-F86C-4D18-AE57-942F525BAC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CF6AADD-29A6-4E83-859C-9CBF5483330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D03A964-C05F-413D-B822-BAD16555AF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1A526CC-62FD-4E2D-923B-C2861C242E5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746A1DA-1870-4EAA-9717-9223851692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O40</xm:sqref>
        </x14:conditionalFormatting>
        <x14:conditionalFormatting xmlns:xm="http://schemas.microsoft.com/office/excel/2006/main">
          <x14:cfRule type="dataBar" id="{0F4A2E21-4AF9-475C-B689-3B775F0FAA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B9EB5BC-6D34-4BA4-B23A-0989270057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BFAEAF9-4CDB-4F4B-B3CD-36C5FEE69C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2125BC-94DB-43E9-8683-2F240A79B26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9E5E0F2-ADE8-4FBB-B78A-986D754BB4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DAF397-EE19-47E8-9F0C-1705A73DA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E5B5323-BDA2-49B8-80A0-6197B79F65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7325B88-4D51-49E3-AB50-65DC7D57CB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E244A7D-90DA-4775-B10C-A906B30A5D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98E4FFE-6047-4FB0-AFED-2965F7A8C5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802F893-E3AA-4EE9-BE5B-45E86E5B20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6A30DB1-36E3-4EE3-B00C-2165EBDF65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3F429C4-C952-47A1-A163-68EE475DCC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O41</xm:sqref>
        </x14:conditionalFormatting>
        <x14:conditionalFormatting xmlns:xm="http://schemas.microsoft.com/office/excel/2006/main">
          <x14:cfRule type="dataBar" id="{0C51CFD9-A524-4F34-B8C3-9B7E1C904E0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E81F593-C729-4EA3-B86B-9F963E2CAE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ED622A5-D4D5-454D-9F85-D47689D0ED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7EC2828-3D97-40A9-96A8-B644C99A0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F0C1ACF-C633-4959-92C6-40FCAC4B9C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5DCE7E0-2CF5-430C-867E-459E14B0E0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CDB68DF-85AE-4349-A699-3C21E6AFDF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F37AAA6-0DC2-46C0-84DE-E4DE2DD65AD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F4A01FC-96E9-43DC-9906-AEF46560A7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A7902C8-C20B-458C-8485-51276CFA91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C24DB49-ECBE-494A-ACBD-EE4F530E829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2F01FE2-8087-46D7-BBB4-40CE618119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AAE1492-0562-4D2E-86BF-A26BBC17F8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2B8B356-CFC3-45B0-A48F-09FE15440A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81504A5-93A4-44C5-98F8-71DCB9492F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9742A5B-AA0E-4BDC-8E1D-1974FCDE633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564BFAB-AD60-4B4B-83A1-C270B5112C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O42</xm:sqref>
        </x14:conditionalFormatting>
        <x14:conditionalFormatting xmlns:xm="http://schemas.microsoft.com/office/excel/2006/main">
          <x14:cfRule type="dataBar" id="{1C9BA77F-98BF-46FC-9F65-427B40BE28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O43 O17 O4:O9 O14:O15 O23:O28 O33:O38 O45:O46 O30:O31 O11:O12</xm:sqref>
        </x14:conditionalFormatting>
        <x14:conditionalFormatting xmlns:xm="http://schemas.microsoft.com/office/excel/2006/main">
          <x14:cfRule type="dataBar" id="{4C45E2EE-3B56-429E-91CA-1ECD9EEC288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69FFC64-7910-4E2D-A638-EF80F1ACE4E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47A0C13-51AD-44EC-9AB0-045FE80594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O43</xm:sqref>
        </x14:conditionalFormatting>
        <x14:conditionalFormatting xmlns:xm="http://schemas.microsoft.com/office/excel/2006/main">
          <x14:cfRule type="dataBar" id="{5D72DEF0-CE97-4F90-8955-0B867CBBD9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6E3EC2-C4E7-4844-89A1-679383FE1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EF6620B-2E3C-4857-B43A-FAB81F826A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C3B04DD-5DDE-43DC-B9AA-8E63226D715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9DC4C39-14EC-41C9-846E-3380264C82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289DC19-BE74-4062-BA37-755165AA89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92E0824-2F02-43C3-839C-CF9C8EF131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24CE64-A926-4174-A9A3-292D4B179CD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7070FB5-23E0-4EA2-9F9A-0742A60216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780890D-F48E-47CD-A22A-7BC1FF66D3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D356BFB-33FF-49F5-97A6-5D2A281C2A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BDBEF94-4A28-4480-AE84-7AD7C7F831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B53DB29-A82F-4FD6-A4E9-E46C09DB17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51662E4-EB1B-4FEB-AD6A-F2B871750C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60836A8-1AB5-4D3D-ABB6-76C066C432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O44</xm:sqref>
        </x14:conditionalFormatting>
        <x14:conditionalFormatting xmlns:xm="http://schemas.microsoft.com/office/excel/2006/main">
          <x14:cfRule type="dataBar" id="{234A6654-9605-4722-896E-E0CE27B1A4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O45:O46 O4:O7 O23:O28 O15 O33:O36 O9 O30 O11:O12</xm:sqref>
        </x14:conditionalFormatting>
        <x14:conditionalFormatting xmlns:xm="http://schemas.microsoft.com/office/excel/2006/main">
          <x14:cfRule type="dataBar" id="{EEBE7625-BAB0-470E-A132-A6996E7E03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O45:O46 O4:O9 O30:O39 O41 O43 O23:O28 O19:O21 O11:O17</xm:sqref>
        </x14:conditionalFormatting>
        <x14:conditionalFormatting xmlns:xm="http://schemas.microsoft.com/office/excel/2006/main">
          <x14:cfRule type="dataBar" id="{12F4EAE8-E9B4-464A-A8D1-E4DB4286B7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O45:O46 O6:O7 O23:O28 O15 O33:O36 O9 O30 O11:O12</xm:sqref>
        </x14:conditionalFormatting>
        <x14:conditionalFormatting xmlns:xm="http://schemas.microsoft.com/office/excel/2006/main">
          <x14:cfRule type="dataBar" id="{3776F191-D6F2-4598-897F-C259081F029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O45:O46 O43</xm:sqref>
        </x14:conditionalFormatting>
        <x14:conditionalFormatting xmlns:xm="http://schemas.microsoft.com/office/excel/2006/main">
          <x14:cfRule type="dataBar" id="{DEC1085A-3DD5-4447-9D69-52E4ED43315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O45:O47 O4:O9 O30:O39 O41 O43 O23:O28 O19:O21 O11:O17</xm:sqref>
        </x14:conditionalFormatting>
        <x14:conditionalFormatting xmlns:xm="http://schemas.microsoft.com/office/excel/2006/main">
          <x14:cfRule type="dataBar" id="{E7461540-6D70-45D2-9808-C5216E8BE69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3B8A882-7FA7-49DC-AA95-BD26ECA333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F8AF43E-3F29-4CA5-875C-0854B63C7E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2003515-F300-49FF-A9BD-71602EC372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BDCC2F7C-AFFC-4B3A-8A65-B0137A8CE50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1DAB7B1-7311-47A7-AA60-F55562E42C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DE91A6AC-7718-4C1A-96CB-B3F983C478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30DDC6A7-FCA3-4F79-A9BB-9CE443B384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9E4EBDF-A7BB-4EA6-89EF-E7736B92FE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5977CDD-AB36-4240-8011-E4DC4A3F93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EF3EF8A-5D5C-476F-B1E2-A46CABC23F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64A3348-9E00-4B00-84D5-C9310E3672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9155F34-9806-47D7-A833-57B9B20C07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O47</xm:sqref>
        </x14:conditionalFormatting>
        <x14:conditionalFormatting xmlns:xm="http://schemas.microsoft.com/office/excel/2006/main">
          <x14:cfRule type="dataBar" id="{91FF75C8-10D3-48DB-B62E-09B2BAD665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O48</xm:sqref>
        </x14:conditionalFormatting>
        <x14:conditionalFormatting xmlns:xm="http://schemas.microsoft.com/office/excel/2006/main">
          <x14:cfRule type="dataBar" id="{F50041BB-BE97-4BAA-9B15-5113707E8F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D4B80DB-5F0C-4D97-B334-34EC0761DB0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BE980328-C1C8-4A12-B38E-4B29CA4778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5CC701F8-A739-4115-A1B5-03D08A13FA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4891FAF3-67E5-4262-975B-ABC0396307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F2C17C8-6DFB-494B-8534-124A188EFB2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BEFD49E-A5B5-410C-9947-C53E3C5635D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615335B-5444-41A8-8FF4-44B80D39F1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8C261D3-E110-45BB-A90F-1553781AC5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CAFAB59-9A13-4C0E-83DD-A5D3091BA79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4B7A8C5-F196-4C8C-96AC-0DC815BF13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1A21DF0-EC12-4690-9202-CB5BE170F1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3D9F96C-0EEB-4880-B13C-80225A69CAE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7CBBFD9-2597-4C5A-AE7D-69DAEBA663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0FB6F6BF-548B-46C9-8D7F-6351330C698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4B0A8ED-8604-4386-A7C8-5D890E9F97A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5C6EF426-CF27-4475-A7E9-7A42D3E191E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96DE563-6D6E-4A47-9122-8D20E913AA8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FF64BA7-138A-4A8A-9575-F96251FF8F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94BABBF-015D-4080-9960-88FCF79224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82D64A6-8FF5-46F4-B13C-C39B85C6CD1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D7C0B8A-62FF-47EC-93E3-0FDAEC9A9CF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A7C7E552-1E89-4DD4-B703-F3F2056F1E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CC822EE-163C-4707-867F-FC5C50EB1E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314FC4F-04B0-41CE-A168-F471295292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6D2E6C93-98E8-43F7-BB9E-CCD19F133D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0524DFEF-03F8-4C7A-A001-69107D1A8C3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C7179020-D8D0-4084-9D0C-EB8F1158F0B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79DD7481-939F-4233-ACD4-5295797CB7E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O18</xm:sqref>
        </x14:conditionalFormatting>
        <x14:conditionalFormatting xmlns:xm="http://schemas.microsoft.com/office/excel/2006/main">
          <x14:cfRule type="dataBar" id="{AC0744E9-77A7-4CD3-A84B-BE940F12E0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9C503D9-74AB-4D47-B3B3-7F8347B435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3324367D-5E65-448B-84CC-1D8CFF5B90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956509F0-FEA0-4F8A-A662-6013B1FC6D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3BE89AC-0F2E-4EA9-BAB0-31ECB89D8B6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DB4889D2-4EA0-482D-A8B6-5E4685E6C4D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A8AE2F8-3F67-4593-BFF7-2501137207B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47DD0669-C975-4698-A1A4-44DB870FB79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04770714-228D-498A-8525-2DAFD3DA2F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B282DF9-B353-426E-B5A6-C92CC6B309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7AF81019-FB4C-4772-A2C1-A19C79A0BC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5848D201-3FBC-41FB-9670-444054A8346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7CE9FE0-FC56-4A59-9916-77D5AE4A7BC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8208553A-8D6B-4E01-B496-7693F2E7C6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A92A6486-CC10-4FF5-910C-02C2040E96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947E8AF7-AFF2-4F49-B2B0-FEDF577AA2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2E3CC01-B888-4CE3-B570-8CB8103562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26E358F5-ABBE-4FB2-A6B5-8ACE21C1E2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E2E34299-7165-48C3-AA4C-384113B9E8A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O10</xm:sqref>
        </x14:conditionalFormatting>
        <x14:conditionalFormatting xmlns:xm="http://schemas.microsoft.com/office/excel/2006/main">
          <x14:cfRule type="dataBar" id="{0EBD0F47-9A68-48A5-8E2B-0E92F611F8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O4:O9 O23:O47 O19:O21 O11:O17</xm:sqref>
        </x14:conditionalFormatting>
        <x14:conditionalFormatting xmlns:xm="http://schemas.microsoft.com/office/excel/2006/main">
          <x14:cfRule type="dataBar" id="{920A7E7F-56C1-4DF4-908B-FE5A74861F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O4:O9 O19:O47 O11:O17</xm:sqref>
        </x14:conditionalFormatting>
        <x14:conditionalFormatting xmlns:xm="http://schemas.microsoft.com/office/excel/2006/main">
          <x14:cfRule type="dataBar" id="{5A849020-667E-464B-ABE0-3DB2F6EA709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Villahermosa</vt:lpstr>
      <vt:lpstr>Coatzacoalcos</vt:lpstr>
      <vt:lpstr>Coatzacoalcos!Área_de_impresión</vt:lpstr>
      <vt:lpstr>Villahermosa!Área_de_impresión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Morales León</dc:creator>
  <cp:lastModifiedBy>Daniel Morales León</cp:lastModifiedBy>
  <dcterms:created xsi:type="dcterms:W3CDTF">2026-06-05T17:40:55Z</dcterms:created>
  <dcterms:modified xsi:type="dcterms:W3CDTF">2026-06-05T17:42:11Z</dcterms:modified>
</cp:coreProperties>
</file>